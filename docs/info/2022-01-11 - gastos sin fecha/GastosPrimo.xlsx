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02437A9-1ABE-4D66-A515-249B5009F6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1" i="1"/>
  <c r="K2" i="1"/>
  <c r="K3" i="1"/>
  <c r="K6" i="1"/>
  <c r="K1" i="1"/>
</calcChain>
</file>

<file path=xl/sharedStrings.xml><?xml version="1.0" encoding="utf-8"?>
<sst xmlns="http://schemas.openxmlformats.org/spreadsheetml/2006/main" count="168" uniqueCount="59">
  <si>
    <t>NULL</t>
  </si>
  <si>
    <t xml:space="preserve">CC </t>
  </si>
  <si>
    <t xml:space="preserve">AAA108B1-57AA-4759-821C-0838BA55A5A2 </t>
  </si>
  <si>
    <t xml:space="preserve">POST MUNDET </t>
  </si>
  <si>
    <t>60dcb2b5191c0</t>
  </si>
  <si>
    <t xml:space="preserve">A6104E5B-8974-4F0C-A88F-F7123E8CE0E5 </t>
  </si>
  <si>
    <t xml:space="preserve">POST VIPS CORE </t>
  </si>
  <si>
    <t>61b7fd0c9464c</t>
  </si>
  <si>
    <t xml:space="preserve">Asistente de Camara B </t>
  </si>
  <si>
    <t xml:space="preserve">522620FE-BC8E-40AF-A1F1-45C7CB76334C </t>
  </si>
  <si>
    <t xml:space="preserve">NOCHE ESPECIAL </t>
  </si>
  <si>
    <t>61b80370693d4</t>
  </si>
  <si>
    <t xml:space="preserve">AD </t>
  </si>
  <si>
    <t xml:space="preserve">E0C8280F-D50C-4FD6-AEEB-DA9CCEC4461E </t>
  </si>
  <si>
    <t xml:space="preserve">Asis de Produccion </t>
  </si>
  <si>
    <t xml:space="preserve">C8B04F0F-8D97-46D9-ABF9-A03EB7563E91 </t>
  </si>
  <si>
    <t xml:space="preserve">STAFF </t>
  </si>
  <si>
    <t xml:space="preserve">B2FA6DA0-65EB-4BB2-969A-E36ABFC40B59 </t>
  </si>
  <si>
    <t xml:space="preserve">H20H </t>
  </si>
  <si>
    <t>61b803f4bb903</t>
  </si>
  <si>
    <t xml:space="preserve">852504A0-9953-4B8C-AF39-0A9C4C28C916 </t>
  </si>
  <si>
    <t xml:space="preserve">Talento CHAVA SANDWICH </t>
  </si>
  <si>
    <t xml:space="preserve">83EC06F5-C21C-4BE6-A1B9-EFA5422B18A9 </t>
  </si>
  <si>
    <t xml:space="preserve">2260C77C-977B-4459-9A61-16FD5F5C03E2 </t>
  </si>
  <si>
    <t xml:space="preserve">Talento CHAVO QR </t>
  </si>
  <si>
    <t xml:space="preserve">87e0c4a5-5b33-44b0-b7c4-d54c8ed95a8f </t>
  </si>
  <si>
    <t xml:space="preserve">TRANSPORTE </t>
  </si>
  <si>
    <t xml:space="preserve">AAA17939-AA6B-4B0D-A5BE-8EF6BD496270 </t>
  </si>
  <si>
    <t xml:space="preserve">Talento CHAVA LIMBO Y FERIA </t>
  </si>
  <si>
    <t xml:space="preserve">C7B30B42-472B-4AFE-859D-C6CCCFB68BEC </t>
  </si>
  <si>
    <t xml:space="preserve">Talento SUSHIMAN </t>
  </si>
  <si>
    <t xml:space="preserve">A99C39A1-780B-456C-ABA3-7407D0385D94 </t>
  </si>
  <si>
    <t xml:space="preserve">86393EBA-ACFF-4D71-8C36-CE99D4D2767F </t>
  </si>
  <si>
    <t xml:space="preserve">DIRECTOR DE ARTE </t>
  </si>
  <si>
    <t xml:space="preserve">B93CCACC-F441-4C67-952E-EBFC5BD55839 </t>
  </si>
  <si>
    <t xml:space="preserve">DATA </t>
  </si>
  <si>
    <t xml:space="preserve">4A254BF1-B9D3-409C-B227-35F2A11B9EA8 </t>
  </si>
  <si>
    <t xml:space="preserve">F3A8E667-2CD9-49B7-B7BE-E4F08D598ACE </t>
  </si>
  <si>
    <t xml:space="preserve">7B7A179B-2A52-46AA-9F94-6F283FFE879C </t>
  </si>
  <si>
    <t xml:space="preserve">70bb06cc-f751-4b5f-88cd-ad839bd05bf0 </t>
  </si>
  <si>
    <t xml:space="preserve">Talento CHAVA OFICINA 1 </t>
  </si>
  <si>
    <t xml:space="preserve">F1A6C101-A10A-4EC3-A24A-90F1B41EFCDF </t>
  </si>
  <si>
    <t xml:space="preserve">ASISTENTE DE VESTUARIO </t>
  </si>
  <si>
    <t xml:space="preserve">91729400-B95C-4110-837B-2A4D99541091 </t>
  </si>
  <si>
    <t xml:space="preserve">Talento MESERA </t>
  </si>
  <si>
    <t xml:space="preserve">3907D695-6145-4610-8436-579496CC5009 </t>
  </si>
  <si>
    <t xml:space="preserve">Talento AMIGO OFICINA </t>
  </si>
  <si>
    <t xml:space="preserve">444F9A29-A71D-43EF-9880-F9A3CAB3ACF6 </t>
  </si>
  <si>
    <t xml:space="preserve">AB752A91-038E-420B-9C86-6B782146EFE5 </t>
  </si>
  <si>
    <t xml:space="preserve">DIRECTOR DE FOTO </t>
  </si>
  <si>
    <t xml:space="preserve">6D983A25-C6BB-441C-A725-046E6B7F68D0 </t>
  </si>
  <si>
    <t>2021-11-17</t>
  </si>
  <si>
    <t>2022-02-09</t>
  </si>
  <si>
    <t>2022-01-19</t>
  </si>
  <si>
    <t>2022-01-26</t>
  </si>
  <si>
    <t>SELECT g.gastoId, g.proveedorId, g.pagoStatusId, g.fechaDePago, g.concepto, g.facturaUuid, p.proyectoId, p.titulo, p.uniqId</t>
  </si>
  <si>
    <t xml:space="preserve">FROM primo_gastos g, primo_proyectos p </t>
  </si>
  <si>
    <t xml:space="preserve">WHERE g.proyectoId = p.proyectoId AND g.fechaDePago IS NULL AND g.facturaUuid &lt;&gt; '' </t>
  </si>
  <si>
    <t>ORDER BY p.proyectoId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</si>
</sst>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E27" sqref="E27:G36"/>
    </sheetView>
  </sheetViews>
  <sheetFormatPr defaultRowHeight="15" x14ac:dyDescent="0.25"/>
  <cols>
    <col min="1" max="2" width="4" bestFit="1" customWidth="1"/>
    <col min="3" max="3" width="2" bestFit="1" customWidth="1"/>
    <col min="4" max="4" width="5.42578125" bestFit="1" customWidth="1"/>
    <col min="5" max="5" width="28.42578125" bestFit="1" customWidth="1"/>
    <col min="6" max="6" width="40.140625" bestFit="1" customWidth="1"/>
    <col min="7" max="7" width="40.140625" hidden="1" customWidth="1"/>
    <col min="8" max="8" width="3" hidden="1" customWidth="1"/>
    <col min="9" max="9" width="16.28515625" hidden="1" customWidth="1"/>
    <col min="10" max="10" width="14.42578125" hidden="1" customWidth="1"/>
    <col min="11" max="11" width="55.7109375" hidden="1" customWidth="1"/>
    <col min="12" max="12" width="11.7109375" customWidth="1"/>
    <col min="13" max="13" width="61.7109375" bestFit="1" customWidth="1"/>
  </cols>
  <sheetData>
    <row r="1" spans="1:13" x14ac:dyDescent="0.25">
      <c r="A1">
        <v>301</v>
      </c>
      <c r="B1">
        <v>143</v>
      </c>
      <c r="C1">
        <v>3</v>
      </c>
      <c r="D1" t="s">
        <v>0</v>
      </c>
      <c r="E1" t="s">
        <v>1</v>
      </c>
      <c r="F1" t="s">
        <v>2</v>
      </c>
      <c r="G1" t="s">
        <v>2</v>
      </c>
      <c r="H1">
        <v>11</v>
      </c>
      <c r="I1" t="s">
        <v>3</v>
      </c>
      <c r="J1" t="s">
        <v>4</v>
      </c>
      <c r="K1" t="str">
        <f>"/public_html/primo/files/projects/" &amp; J1 &amp; "/facturas/"</f>
        <v>/public_html/primo/files/projects/60dcb2b5191c0/facturas/</v>
      </c>
      <c r="L1" s="1" t="s">
        <v>51</v>
      </c>
      <c r="M1" t="str">
        <f>"UPDATE gastos SET fechaDePago = '" &amp; L1 &amp; "' WHERE gastoId = " &amp; A1</f>
        <v>UPDATE gastos SET fechaDePago = '2021-11-17' WHERE gastoId = 301</v>
      </c>
    </row>
    <row r="2" spans="1:13" x14ac:dyDescent="0.25">
      <c r="A2">
        <v>836</v>
      </c>
      <c r="B2">
        <v>140</v>
      </c>
      <c r="C2">
        <v>1</v>
      </c>
      <c r="D2" t="s">
        <v>0</v>
      </c>
      <c r="E2" t="s">
        <v>1</v>
      </c>
      <c r="F2" t="s">
        <v>5</v>
      </c>
      <c r="G2" t="s">
        <v>5</v>
      </c>
      <c r="H2">
        <v>28</v>
      </c>
      <c r="I2" t="s">
        <v>6</v>
      </c>
      <c r="J2" t="s">
        <v>7</v>
      </c>
      <c r="K2" t="str">
        <f t="shared" ref="K2:K6" si="0">"/public_html/primo/files/projects/" &amp; J2 &amp; "/facturas/"</f>
        <v>/public_html/primo/files/projects/61b7fd0c9464c/facturas/</v>
      </c>
      <c r="L2" s="1" t="s">
        <v>52</v>
      </c>
      <c r="M2" t="str">
        <f t="shared" ref="M2:M25" si="1">"UPDATE gastos SET fechaDePago = '" &amp; L2 &amp; "' WHERE gastoId = " &amp; A2</f>
        <v>UPDATE gastos SET fechaDePago = '2022-02-09' WHERE gastoId = 836</v>
      </c>
    </row>
    <row r="3" spans="1:13" x14ac:dyDescent="0.25">
      <c r="A3">
        <v>748</v>
      </c>
      <c r="B3">
        <v>214</v>
      </c>
      <c r="C3">
        <v>1</v>
      </c>
      <c r="D3" t="s">
        <v>0</v>
      </c>
      <c r="E3" t="s">
        <v>8</v>
      </c>
      <c r="F3" t="s">
        <v>9</v>
      </c>
      <c r="G3" t="s">
        <v>9</v>
      </c>
      <c r="H3">
        <v>29</v>
      </c>
      <c r="I3" t="s">
        <v>10</v>
      </c>
      <c r="J3" t="s">
        <v>11</v>
      </c>
      <c r="K3" t="str">
        <f t="shared" si="0"/>
        <v>/public_html/primo/files/projects/61b80370693d4/facturas/</v>
      </c>
      <c r="L3" s="1" t="s">
        <v>53</v>
      </c>
      <c r="M3" t="str">
        <f t="shared" si="1"/>
        <v>UPDATE gastos SET fechaDePago = '2022-01-19' WHERE gastoId = 748</v>
      </c>
    </row>
    <row r="4" spans="1:13" x14ac:dyDescent="0.25">
      <c r="A4">
        <v>742</v>
      </c>
      <c r="B4">
        <v>323</v>
      </c>
      <c r="C4">
        <v>1</v>
      </c>
      <c r="D4" t="s">
        <v>0</v>
      </c>
      <c r="E4" t="s">
        <v>12</v>
      </c>
      <c r="F4" t="s">
        <v>13</v>
      </c>
      <c r="G4" t="s">
        <v>13</v>
      </c>
      <c r="H4">
        <v>29</v>
      </c>
      <c r="I4" t="s">
        <v>10</v>
      </c>
      <c r="J4" t="s">
        <v>11</v>
      </c>
      <c r="L4" s="1" t="s">
        <v>54</v>
      </c>
      <c r="M4" t="str">
        <f t="shared" si="1"/>
        <v>UPDATE gastos SET fechaDePago = '2022-01-26' WHERE gastoId = 742</v>
      </c>
    </row>
    <row r="5" spans="1:13" x14ac:dyDescent="0.25">
      <c r="A5">
        <v>749</v>
      </c>
      <c r="B5">
        <v>214</v>
      </c>
      <c r="C5">
        <v>1</v>
      </c>
      <c r="D5" t="s">
        <v>0</v>
      </c>
      <c r="E5" t="s">
        <v>14</v>
      </c>
      <c r="F5" t="s">
        <v>15</v>
      </c>
      <c r="G5" t="s">
        <v>15</v>
      </c>
      <c r="H5">
        <v>29</v>
      </c>
      <c r="I5" t="s">
        <v>10</v>
      </c>
      <c r="J5" t="s">
        <v>11</v>
      </c>
      <c r="L5" s="1" t="s">
        <v>53</v>
      </c>
      <c r="M5" t="str">
        <f t="shared" si="1"/>
        <v>UPDATE gastos SET fechaDePago = '2022-01-19' WHERE gastoId = 749</v>
      </c>
    </row>
    <row r="6" spans="1:13" x14ac:dyDescent="0.25">
      <c r="A6">
        <v>779</v>
      </c>
      <c r="B6">
        <v>214</v>
      </c>
      <c r="C6">
        <v>1</v>
      </c>
      <c r="D6" t="s">
        <v>0</v>
      </c>
      <c r="E6" t="s">
        <v>16</v>
      </c>
      <c r="F6" t="s">
        <v>17</v>
      </c>
      <c r="G6" t="s">
        <v>17</v>
      </c>
      <c r="H6">
        <v>30</v>
      </c>
      <c r="I6" t="s">
        <v>18</v>
      </c>
      <c r="J6" t="s">
        <v>19</v>
      </c>
      <c r="K6" t="str">
        <f t="shared" si="0"/>
        <v>/public_html/primo/files/projects/61b803f4bb903/facturas/</v>
      </c>
      <c r="L6" s="1" t="s">
        <v>53</v>
      </c>
      <c r="M6" t="str">
        <f t="shared" si="1"/>
        <v>UPDATE gastos SET fechaDePago = '2022-01-19' WHERE gastoId = 779</v>
      </c>
    </row>
    <row r="7" spans="1:13" x14ac:dyDescent="0.25">
      <c r="A7">
        <v>781</v>
      </c>
      <c r="B7">
        <v>214</v>
      </c>
      <c r="C7">
        <v>1</v>
      </c>
      <c r="D7" t="s">
        <v>0</v>
      </c>
      <c r="E7" t="s">
        <v>16</v>
      </c>
      <c r="F7" t="s">
        <v>20</v>
      </c>
      <c r="G7" t="s">
        <v>20</v>
      </c>
      <c r="H7">
        <v>30</v>
      </c>
      <c r="I7" t="s">
        <v>18</v>
      </c>
      <c r="J7" t="s">
        <v>19</v>
      </c>
      <c r="M7" t="str">
        <f t="shared" si="1"/>
        <v>UPDATE gastos SET fechaDePago = '' WHERE gastoId = 781</v>
      </c>
    </row>
    <row r="8" spans="1:13" x14ac:dyDescent="0.25">
      <c r="A8">
        <v>762</v>
      </c>
      <c r="B8">
        <v>339</v>
      </c>
      <c r="C8">
        <v>1</v>
      </c>
      <c r="D8" t="s">
        <v>0</v>
      </c>
      <c r="E8" t="s">
        <v>21</v>
      </c>
      <c r="F8" t="s">
        <v>22</v>
      </c>
      <c r="G8" t="s">
        <v>22</v>
      </c>
      <c r="H8">
        <v>30</v>
      </c>
      <c r="I8" t="s">
        <v>18</v>
      </c>
      <c r="J8" t="s">
        <v>19</v>
      </c>
      <c r="M8" t="str">
        <f t="shared" si="1"/>
        <v>UPDATE gastos SET fechaDePago = '' WHERE gastoId = 762</v>
      </c>
    </row>
    <row r="9" spans="1:13" x14ac:dyDescent="0.25">
      <c r="A9">
        <v>783</v>
      </c>
      <c r="B9">
        <v>214</v>
      </c>
      <c r="C9">
        <v>1</v>
      </c>
      <c r="D9" t="s">
        <v>0</v>
      </c>
      <c r="E9" t="s">
        <v>16</v>
      </c>
      <c r="F9" t="s">
        <v>23</v>
      </c>
      <c r="G9" t="s">
        <v>23</v>
      </c>
      <c r="H9">
        <v>30</v>
      </c>
      <c r="I9" t="s">
        <v>18</v>
      </c>
      <c r="J9" t="s">
        <v>19</v>
      </c>
      <c r="M9" t="str">
        <f t="shared" si="1"/>
        <v>UPDATE gastos SET fechaDePago = '' WHERE gastoId = 783</v>
      </c>
    </row>
    <row r="10" spans="1:13" x14ac:dyDescent="0.25">
      <c r="A10">
        <v>765</v>
      </c>
      <c r="B10">
        <v>134</v>
      </c>
      <c r="C10">
        <v>1</v>
      </c>
      <c r="D10" t="s">
        <v>0</v>
      </c>
      <c r="E10" t="s">
        <v>24</v>
      </c>
      <c r="F10" t="s">
        <v>25</v>
      </c>
      <c r="G10" t="s">
        <v>25</v>
      </c>
      <c r="H10">
        <v>30</v>
      </c>
      <c r="I10" t="s">
        <v>18</v>
      </c>
      <c r="J10" t="s">
        <v>19</v>
      </c>
      <c r="M10" t="str">
        <f t="shared" si="1"/>
        <v>UPDATE gastos SET fechaDePago = '' WHERE gastoId = 765</v>
      </c>
    </row>
    <row r="11" spans="1:13" x14ac:dyDescent="0.25">
      <c r="A11">
        <v>830</v>
      </c>
      <c r="B11">
        <v>154</v>
      </c>
      <c r="C11">
        <v>1</v>
      </c>
      <c r="D11" t="s">
        <v>0</v>
      </c>
      <c r="E11" t="s">
        <v>26</v>
      </c>
      <c r="F11" t="s">
        <v>27</v>
      </c>
      <c r="G11" t="s">
        <v>27</v>
      </c>
      <c r="H11">
        <v>30</v>
      </c>
      <c r="I11" t="s">
        <v>18</v>
      </c>
      <c r="J11" t="s">
        <v>19</v>
      </c>
      <c r="M11" t="str">
        <f t="shared" si="1"/>
        <v>UPDATE gastos SET fechaDePago = '' WHERE gastoId = 830</v>
      </c>
    </row>
    <row r="12" spans="1:13" x14ac:dyDescent="0.25">
      <c r="A12">
        <v>768</v>
      </c>
      <c r="B12">
        <v>339</v>
      </c>
      <c r="C12">
        <v>1</v>
      </c>
      <c r="D12" t="s">
        <v>0</v>
      </c>
      <c r="E12" t="s">
        <v>28</v>
      </c>
      <c r="F12" t="s">
        <v>29</v>
      </c>
      <c r="G12" t="s">
        <v>29</v>
      </c>
      <c r="H12">
        <v>30</v>
      </c>
      <c r="I12" t="s">
        <v>18</v>
      </c>
      <c r="J12" t="s">
        <v>19</v>
      </c>
      <c r="M12" t="str">
        <f t="shared" si="1"/>
        <v>UPDATE gastos SET fechaDePago = '' WHERE gastoId = 768</v>
      </c>
    </row>
    <row r="13" spans="1:13" x14ac:dyDescent="0.25">
      <c r="A13">
        <v>835</v>
      </c>
      <c r="B13">
        <v>41</v>
      </c>
      <c r="C13">
        <v>1</v>
      </c>
      <c r="D13" t="s">
        <v>0</v>
      </c>
      <c r="E13" t="s">
        <v>30</v>
      </c>
      <c r="F13" t="s">
        <v>31</v>
      </c>
      <c r="G13" t="s">
        <v>31</v>
      </c>
      <c r="H13">
        <v>30</v>
      </c>
      <c r="I13" t="s">
        <v>18</v>
      </c>
      <c r="J13" t="s">
        <v>19</v>
      </c>
      <c r="M13" t="str">
        <f t="shared" si="1"/>
        <v>UPDATE gastos SET fechaDePago = '' WHERE gastoId = 835</v>
      </c>
    </row>
    <row r="14" spans="1:13" x14ac:dyDescent="0.25">
      <c r="A14">
        <v>771</v>
      </c>
      <c r="B14">
        <v>341</v>
      </c>
      <c r="C14">
        <v>1</v>
      </c>
      <c r="D14" t="s">
        <v>0</v>
      </c>
      <c r="E14" t="s">
        <v>30</v>
      </c>
      <c r="F14" t="s">
        <v>32</v>
      </c>
      <c r="G14" t="s">
        <v>32</v>
      </c>
      <c r="H14">
        <v>30</v>
      </c>
      <c r="I14" t="s">
        <v>18</v>
      </c>
      <c r="J14" t="s">
        <v>19</v>
      </c>
      <c r="M14" t="str">
        <f t="shared" si="1"/>
        <v>UPDATE gastos SET fechaDePago = '' WHERE gastoId = 771</v>
      </c>
    </row>
    <row r="15" spans="1:13" x14ac:dyDescent="0.25">
      <c r="A15">
        <v>773</v>
      </c>
      <c r="B15">
        <v>136</v>
      </c>
      <c r="C15">
        <v>1</v>
      </c>
      <c r="D15" t="s">
        <v>0</v>
      </c>
      <c r="E15" t="s">
        <v>33</v>
      </c>
      <c r="F15" t="s">
        <v>34</v>
      </c>
      <c r="G15" t="s">
        <v>34</v>
      </c>
      <c r="H15">
        <v>30</v>
      </c>
      <c r="I15" t="s">
        <v>18</v>
      </c>
      <c r="J15" t="s">
        <v>19</v>
      </c>
      <c r="M15" t="str">
        <f t="shared" si="1"/>
        <v>UPDATE gastos SET fechaDePago = '' WHERE gastoId = 773</v>
      </c>
    </row>
    <row r="16" spans="1:13" x14ac:dyDescent="0.25">
      <c r="A16">
        <v>776</v>
      </c>
      <c r="B16">
        <v>280</v>
      </c>
      <c r="C16">
        <v>1</v>
      </c>
      <c r="D16" t="s">
        <v>0</v>
      </c>
      <c r="E16" t="s">
        <v>35</v>
      </c>
      <c r="F16" t="s">
        <v>36</v>
      </c>
      <c r="G16" t="s">
        <v>36</v>
      </c>
      <c r="H16">
        <v>30</v>
      </c>
      <c r="I16" t="s">
        <v>18</v>
      </c>
      <c r="J16" t="s">
        <v>19</v>
      </c>
      <c r="M16" t="str">
        <f t="shared" si="1"/>
        <v>UPDATE gastos SET fechaDePago = '' WHERE gastoId = 776</v>
      </c>
    </row>
    <row r="17" spans="1:13" x14ac:dyDescent="0.25">
      <c r="A17">
        <v>778</v>
      </c>
      <c r="B17">
        <v>214</v>
      </c>
      <c r="C17">
        <v>1</v>
      </c>
      <c r="D17" t="s">
        <v>0</v>
      </c>
      <c r="E17" t="s">
        <v>16</v>
      </c>
      <c r="F17" t="s">
        <v>37</v>
      </c>
      <c r="G17" t="s">
        <v>37</v>
      </c>
      <c r="H17">
        <v>30</v>
      </c>
      <c r="I17" t="s">
        <v>18</v>
      </c>
      <c r="J17" t="s">
        <v>19</v>
      </c>
      <c r="M17" t="str">
        <f t="shared" si="1"/>
        <v>UPDATE gastos SET fechaDePago = '' WHERE gastoId = 778</v>
      </c>
    </row>
    <row r="18" spans="1:13" x14ac:dyDescent="0.25">
      <c r="A18">
        <v>780</v>
      </c>
      <c r="B18">
        <v>214</v>
      </c>
      <c r="C18">
        <v>1</v>
      </c>
      <c r="D18" t="s">
        <v>0</v>
      </c>
      <c r="E18" t="s">
        <v>16</v>
      </c>
      <c r="F18" t="s">
        <v>38</v>
      </c>
      <c r="G18" t="s">
        <v>38</v>
      </c>
      <c r="H18">
        <v>30</v>
      </c>
      <c r="I18" t="s">
        <v>18</v>
      </c>
      <c r="J18" t="s">
        <v>19</v>
      </c>
      <c r="M18" t="str">
        <f t="shared" si="1"/>
        <v>UPDATE gastos SET fechaDePago = '' WHERE gastoId = 780</v>
      </c>
    </row>
    <row r="19" spans="1:13" x14ac:dyDescent="0.25">
      <c r="A19">
        <v>782</v>
      </c>
      <c r="B19">
        <v>342</v>
      </c>
      <c r="C19">
        <v>1</v>
      </c>
      <c r="D19" t="s">
        <v>0</v>
      </c>
      <c r="E19" t="s">
        <v>16</v>
      </c>
      <c r="F19" t="s">
        <v>39</v>
      </c>
      <c r="G19" t="s">
        <v>39</v>
      </c>
      <c r="H19">
        <v>30</v>
      </c>
      <c r="I19" t="s">
        <v>18</v>
      </c>
      <c r="J19" t="s">
        <v>19</v>
      </c>
      <c r="M19" t="str">
        <f t="shared" si="1"/>
        <v>UPDATE gastos SET fechaDePago = '' WHERE gastoId = 782</v>
      </c>
    </row>
    <row r="20" spans="1:13" x14ac:dyDescent="0.25">
      <c r="A20">
        <v>763</v>
      </c>
      <c r="B20">
        <v>339</v>
      </c>
      <c r="C20">
        <v>1</v>
      </c>
      <c r="D20" t="s">
        <v>0</v>
      </c>
      <c r="E20" t="s">
        <v>40</v>
      </c>
      <c r="F20" t="s">
        <v>41</v>
      </c>
      <c r="G20" t="s">
        <v>41</v>
      </c>
      <c r="H20">
        <v>30</v>
      </c>
      <c r="I20" t="s">
        <v>18</v>
      </c>
      <c r="J20" t="s">
        <v>19</v>
      </c>
      <c r="M20" t="str">
        <f t="shared" si="1"/>
        <v>UPDATE gastos SET fechaDePago = '' WHERE gastoId = 763</v>
      </c>
    </row>
    <row r="21" spans="1:13" x14ac:dyDescent="0.25">
      <c r="A21">
        <v>828</v>
      </c>
      <c r="B21">
        <v>359</v>
      </c>
      <c r="C21">
        <v>1</v>
      </c>
      <c r="D21" t="s">
        <v>0</v>
      </c>
      <c r="E21" t="s">
        <v>42</v>
      </c>
      <c r="F21" t="s">
        <v>43</v>
      </c>
      <c r="G21" t="s">
        <v>43</v>
      </c>
      <c r="H21">
        <v>30</v>
      </c>
      <c r="I21" t="s">
        <v>18</v>
      </c>
      <c r="J21" t="s">
        <v>19</v>
      </c>
      <c r="M21" t="str">
        <f t="shared" si="1"/>
        <v>UPDATE gastos SET fechaDePago = '' WHERE gastoId = 828</v>
      </c>
    </row>
    <row r="22" spans="1:13" x14ac:dyDescent="0.25">
      <c r="A22">
        <v>766</v>
      </c>
      <c r="B22">
        <v>339</v>
      </c>
      <c r="C22">
        <v>1</v>
      </c>
      <c r="D22" t="s">
        <v>0</v>
      </c>
      <c r="E22" t="s">
        <v>44</v>
      </c>
      <c r="F22" t="s">
        <v>45</v>
      </c>
      <c r="G22" t="s">
        <v>45</v>
      </c>
      <c r="H22">
        <v>30</v>
      </c>
      <c r="I22" t="s">
        <v>18</v>
      </c>
      <c r="J22" t="s">
        <v>19</v>
      </c>
      <c r="M22" t="str">
        <f t="shared" si="1"/>
        <v>UPDATE gastos SET fechaDePago = '' WHERE gastoId = 766</v>
      </c>
    </row>
    <row r="23" spans="1:13" x14ac:dyDescent="0.25">
      <c r="A23">
        <v>833</v>
      </c>
      <c r="B23">
        <v>41</v>
      </c>
      <c r="C23">
        <v>1</v>
      </c>
      <c r="D23" t="s">
        <v>0</v>
      </c>
      <c r="E23" t="s">
        <v>46</v>
      </c>
      <c r="F23" t="s">
        <v>47</v>
      </c>
      <c r="G23" t="s">
        <v>47</v>
      </c>
      <c r="H23">
        <v>30</v>
      </c>
      <c r="I23" t="s">
        <v>18</v>
      </c>
      <c r="J23" t="s">
        <v>19</v>
      </c>
      <c r="M23" t="str">
        <f t="shared" si="1"/>
        <v>UPDATE gastos SET fechaDePago = '' WHERE gastoId = 833</v>
      </c>
    </row>
    <row r="24" spans="1:13" x14ac:dyDescent="0.25">
      <c r="A24">
        <v>770</v>
      </c>
      <c r="B24">
        <v>341</v>
      </c>
      <c r="C24">
        <v>1</v>
      </c>
      <c r="D24" t="s">
        <v>0</v>
      </c>
      <c r="E24" t="s">
        <v>30</v>
      </c>
      <c r="F24" t="s">
        <v>48</v>
      </c>
      <c r="G24" t="s">
        <v>48</v>
      </c>
      <c r="H24">
        <v>30</v>
      </c>
      <c r="I24" t="s">
        <v>18</v>
      </c>
      <c r="J24" t="s">
        <v>19</v>
      </c>
      <c r="M24" t="str">
        <f t="shared" si="1"/>
        <v>UPDATE gastos SET fechaDePago = '' WHERE gastoId = 770</v>
      </c>
    </row>
    <row r="25" spans="1:13" x14ac:dyDescent="0.25">
      <c r="A25">
        <v>772</v>
      </c>
      <c r="B25">
        <v>136</v>
      </c>
      <c r="C25">
        <v>1</v>
      </c>
      <c r="D25" t="s">
        <v>0</v>
      </c>
      <c r="E25" t="s">
        <v>49</v>
      </c>
      <c r="F25" t="s">
        <v>50</v>
      </c>
      <c r="G25" t="s">
        <v>50</v>
      </c>
      <c r="H25">
        <v>30</v>
      </c>
      <c r="I25" t="s">
        <v>18</v>
      </c>
      <c r="J25" t="s">
        <v>19</v>
      </c>
      <c r="M25" t="str">
        <f t="shared" si="1"/>
        <v>UPDATE gastos SET fechaDePago = '' WHERE gastoId = 772</v>
      </c>
    </row>
    <row r="27" spans="1:13" x14ac:dyDescent="0.25">
      <c r="E27" t="s">
        <v>55</v>
      </c>
    </row>
    <row r="28" spans="1:13" x14ac:dyDescent="0.25">
      <c r="E28" t="s">
        <v>56</v>
      </c>
    </row>
    <row r="29" spans="1:13" x14ac:dyDescent="0.25">
      <c r="E29" t="s">
        <v>57</v>
      </c>
    </row>
    <row r="30" spans="1:13" x14ac:dyDescent="0.25">
      <c r="E30" t="s">
        <v>58</v>
      </c>
    </row>
    <row r="33" spans="5:7" x14ac:dyDescent="0.25">
      <c r="E33" t="s">
        <v>3</v>
      </c>
      <c r="F33" t="s">
        <v>4</v>
      </c>
    </row>
    <row r="34" spans="5:7" x14ac:dyDescent="0.25">
      <c r="E34" t="s">
        <v>6</v>
      </c>
      <c r="F34" t="s">
        <v>7</v>
      </c>
    </row>
    <row r="35" spans="5:7" x14ac:dyDescent="0.25">
      <c r="E35" t="s">
        <v>10</v>
      </c>
      <c r="F35" t="s">
        <v>11</v>
      </c>
    </row>
    <row r="36" spans="5:7" x14ac:dyDescent="0.25">
      <c r="E36" t="s">
        <v>18</v>
      </c>
      <c r="G3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2022-01-08T00:38:16Z</dcterms:created>
  <dcterms:modified xsi:type="dcterms:W3CDTF">2022-01-08T00:38:55Z</dcterms:modified>
</cp:coreProperties>
</file>