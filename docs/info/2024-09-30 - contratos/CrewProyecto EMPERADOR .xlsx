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pamelaromero/Library/CloudStorage/Dropbox/Mac/Desktop/"/>
    </mc:Choice>
  </mc:AlternateContent>
  <xr:revisionPtr revIDLastSave="0" documentId="8_{C448C32B-E7C1-2D44-89BD-FE0BDADC3D54}" xr6:coauthVersionLast="47" xr6:coauthVersionMax="47" xr10:uidLastSave="{00000000-0000-0000-0000-000000000000}"/>
  <bookViews>
    <workbookView xWindow="6120" yWindow="740" windowWidth="22680" windowHeight="16080" xr2:uid="{26B985FF-4F83-4A2C-BA39-186435231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E40" i="1"/>
  <c r="E9" i="1"/>
  <c r="E8" i="1"/>
  <c r="E7" i="1"/>
  <c r="E6" i="1"/>
  <c r="E18" i="1"/>
  <c r="E17" i="1"/>
  <c r="E16" i="1"/>
</calcChain>
</file>

<file path=xl/sharedStrings.xml><?xml version="1.0" encoding="utf-8"?>
<sst xmlns="http://schemas.openxmlformats.org/spreadsheetml/2006/main" count="338" uniqueCount="252">
  <si>
    <t>Proyecto</t>
  </si>
  <si>
    <t>RFC</t>
  </si>
  <si>
    <t>EMAIL</t>
  </si>
  <si>
    <t>RAZON SOCIAL</t>
  </si>
  <si>
    <t>CREW</t>
  </si>
  <si>
    <t xml:space="preserve">PUESTO </t>
  </si>
  <si>
    <t xml:space="preserve">TIPO DE CONTRATO </t>
  </si>
  <si>
    <t>No. Proyecto</t>
  </si>
  <si>
    <t xml:space="preserve">EMPERADOR </t>
  </si>
  <si>
    <t>HONORARIOS SIN IVA NI RETENCIONES</t>
  </si>
  <si>
    <t>ettoraro@gmail.com</t>
  </si>
  <si>
    <t>nutzz.mx@gmail.com</t>
  </si>
  <si>
    <t>ferto1971@gmail.com</t>
  </si>
  <si>
    <t>gusanloz@gmail.com</t>
  </si>
  <si>
    <t>alvaro.solerarpa@gmail.com</t>
  </si>
  <si>
    <t>rsr@unumcasting.com</t>
  </si>
  <si>
    <t>Héctor Cruz</t>
  </si>
  <si>
    <t>Adrián Nava</t>
  </si>
  <si>
    <t>Max Torres</t>
  </si>
  <si>
    <t>Gustavo Andrés Loza</t>
  </si>
  <si>
    <t>Álvaro Soler</t>
  </si>
  <si>
    <t>AD</t>
  </si>
  <si>
    <t xml:space="preserve">2do AD </t>
  </si>
  <si>
    <t>2do 2do AD</t>
  </si>
  <si>
    <t xml:space="preserve">Storyboard </t>
  </si>
  <si>
    <t xml:space="preserve">Casing </t>
  </si>
  <si>
    <t>lopez.pato19@gmail.com</t>
  </si>
  <si>
    <t>danymoralba1987@gmail.com</t>
  </si>
  <si>
    <t>adolfogarciamdz@gmail.com</t>
  </si>
  <si>
    <t>lriosmanzanos@gmail.com</t>
  </si>
  <si>
    <t>carretero.david25@gmail.com</t>
  </si>
  <si>
    <t>jcesarshndz@gmail.com</t>
  </si>
  <si>
    <t>donovan2887@gmail.com</t>
  </si>
  <si>
    <t>Productor en línea</t>
  </si>
  <si>
    <t>Coordinadora de Producción</t>
  </si>
  <si>
    <t>Unit Manager</t>
  </si>
  <si>
    <t>Apoc</t>
  </si>
  <si>
    <t>Key PA</t>
  </si>
  <si>
    <t>Asistente de producción</t>
  </si>
  <si>
    <t>Runner</t>
  </si>
  <si>
    <t>Santiago Martínez Parente</t>
  </si>
  <si>
    <t>san.locations@gmail.com</t>
  </si>
  <si>
    <t>Galo Olivares</t>
  </si>
  <si>
    <t>olivaresgalo@gmail.com</t>
  </si>
  <si>
    <t>Germán Betancourt</t>
  </si>
  <si>
    <t>germanb66@yahoo.com.mx</t>
  </si>
  <si>
    <t>checoorozco10@hotmail.com</t>
  </si>
  <si>
    <t>info@diegoignacio.com</t>
  </si>
  <si>
    <t>grupo_bala_staff@hotmail.com</t>
  </si>
  <si>
    <t>Gerente de Locaciones</t>
  </si>
  <si>
    <t>Director de fotografía</t>
  </si>
  <si>
    <t>Asistente de Cámara</t>
  </si>
  <si>
    <t>2nd AC</t>
  </si>
  <si>
    <t>Steadycam</t>
  </si>
  <si>
    <t>Gaffer</t>
  </si>
  <si>
    <t>DIT</t>
  </si>
  <si>
    <t>Proveedor VTR</t>
  </si>
  <si>
    <t>romero.gabriel1@gmail.com</t>
  </si>
  <si>
    <t>yoc._@hotmail.com</t>
  </si>
  <si>
    <t>alatorre.david@gmail.com</t>
  </si>
  <si>
    <t>Nina María García</t>
  </si>
  <si>
    <t>ninamariagarcia16@gmail.com</t>
  </si>
  <si>
    <t>Julián Álvarez</t>
  </si>
  <si>
    <t>juliansinomas@gmail.com</t>
  </si>
  <si>
    <t>jancarlosgg@hotmail.com</t>
  </si>
  <si>
    <t xml:space="preserve">Mauricio Reyes </t>
  </si>
  <si>
    <t>maureyesgaffer@icloud.com</t>
  </si>
  <si>
    <t xml:space="preserve">Rodrigo Luque </t>
  </si>
  <si>
    <t>luorstreaming@gmail.com</t>
  </si>
  <si>
    <t>Ricardo David Rodríguez</t>
  </si>
  <si>
    <t>rich8587@icloud.com</t>
  </si>
  <si>
    <t>Data</t>
  </si>
  <si>
    <t xml:space="preserve">Operador Video  </t>
  </si>
  <si>
    <t>Producción</t>
  </si>
  <si>
    <t>DoP</t>
  </si>
  <si>
    <t>AC</t>
  </si>
  <si>
    <t xml:space="preserve">Gaffer </t>
  </si>
  <si>
    <t>info@wolfwender.com</t>
  </si>
  <si>
    <t>Gerardo Manrique</t>
  </si>
  <si>
    <t>gmanriquezorilla@gmail.com</t>
  </si>
  <si>
    <t>Carlos Chávez</t>
  </si>
  <si>
    <t>chat.fotografia@gmail.com</t>
  </si>
  <si>
    <t>Foto fija</t>
  </si>
  <si>
    <t>Asistente de foto fija</t>
  </si>
  <si>
    <t xml:space="preserve">Sonidista </t>
  </si>
  <si>
    <t>Asistente Sonidista</t>
  </si>
  <si>
    <t>znivek@gmail.com</t>
  </si>
  <si>
    <t>Mario Velásquez</t>
  </si>
  <si>
    <t>mariovelasquezaguilar@outlook.es</t>
  </si>
  <si>
    <t>spacelibelula@gmail.com</t>
  </si>
  <si>
    <t>Diseñadora de Producción</t>
  </si>
  <si>
    <t>Director de Arte</t>
  </si>
  <si>
    <t>Decorador</t>
  </si>
  <si>
    <t>Vestuarista</t>
  </si>
  <si>
    <t>Asistente vestuario</t>
  </si>
  <si>
    <t>almudenasuarezpenalva@gmail.com</t>
  </si>
  <si>
    <t>Juan Manuel Ortiz</t>
  </si>
  <si>
    <t>juanmanuelortiz828@gmail.com</t>
  </si>
  <si>
    <t>Jordana Moisés</t>
  </si>
  <si>
    <t>jord_moises@hotmail.com</t>
  </si>
  <si>
    <t>Katya de la Cruz</t>
  </si>
  <si>
    <t>katidelacruz24@gmail.com</t>
  </si>
  <si>
    <t>Maquillista</t>
  </si>
  <si>
    <t>Asistente maquillaje</t>
  </si>
  <si>
    <t>aliciaspeare@hotmail.com</t>
  </si>
  <si>
    <t>Reyna Varela</t>
  </si>
  <si>
    <t>varela-imagen@hotmail.com</t>
  </si>
  <si>
    <t>marielmichua@gmail.com</t>
  </si>
  <si>
    <t>Lessly López Cedillo</t>
  </si>
  <si>
    <t>lesslycedillomakeup@gmail.com</t>
  </si>
  <si>
    <t>miriam_victorino@hotmail.com</t>
  </si>
  <si>
    <t>Marco Hernández</t>
  </si>
  <si>
    <t xml:space="preserve">
kumarco1976@gmail.com</t>
  </si>
  <si>
    <t>Cristian Pérez</t>
  </si>
  <si>
    <t>chejauregui@gmail.com</t>
  </si>
  <si>
    <t>gerylu@icloud.com</t>
  </si>
  <si>
    <t xml:space="preserve">Utileria </t>
  </si>
  <si>
    <t>EFD</t>
  </si>
  <si>
    <t>Leonardo Reyes</t>
  </si>
  <si>
    <t>leonardo.reyes@efd.com.mx</t>
  </si>
  <si>
    <t>Encargado de Cámara A</t>
  </si>
  <si>
    <t>Encargado de Cámara B</t>
  </si>
  <si>
    <t>Encargado de Dolly</t>
  </si>
  <si>
    <t>Encargado de Alpha</t>
  </si>
  <si>
    <t>Encargado Tecnho</t>
  </si>
  <si>
    <t>Asistente Techno</t>
  </si>
  <si>
    <t>Encargado cabeza estabilizada</t>
  </si>
  <si>
    <t>Encargado de Minimóvil</t>
  </si>
  <si>
    <t>Encargado de Sky panel</t>
  </si>
  <si>
    <t>Encargado de Asteras</t>
  </si>
  <si>
    <t>Encargado de Luces</t>
  </si>
  <si>
    <t>Encargado de Planta</t>
  </si>
  <si>
    <t>guichoker24@hotmail.com</t>
  </si>
  <si>
    <t>dgutierrez.apto@hotmail.com</t>
  </si>
  <si>
    <t>oscarivanayalamartinez@hotmail.com</t>
  </si>
  <si>
    <t xml:space="preserve"> salvador.nava73@hotmail.com</t>
  </si>
  <si>
    <t>Fernando Salazar</t>
  </si>
  <si>
    <t>-</t>
  </si>
  <si>
    <t>Adan Dávila</t>
  </si>
  <si>
    <t>Viridiana Reyes</t>
  </si>
  <si>
    <t>viridianareyes281196@gmail.com</t>
  </si>
  <si>
    <t>arrizqui00@gmail.com</t>
  </si>
  <si>
    <t>ferchopinche@gmail.com</t>
  </si>
  <si>
    <t>trejorodrigo658@gmail.com</t>
  </si>
  <si>
    <t>ALEJANDRO_HDZ_44@outlook.com</t>
  </si>
  <si>
    <t>bombonrolas@gmail.com</t>
  </si>
  <si>
    <t>Víctor Miguel Figueroa</t>
  </si>
  <si>
    <t>Miguel Martínez</t>
  </si>
  <si>
    <t>miguelmarsal13@gmail.com</t>
  </si>
  <si>
    <t xml:space="preserve">Erendira Avalos Flores </t>
  </si>
  <si>
    <t>erendiraavalos@gmail.com</t>
  </si>
  <si>
    <t>Transporte</t>
  </si>
  <si>
    <t>Supervisor VFX</t>
  </si>
  <si>
    <t>Asistente VFX</t>
  </si>
  <si>
    <t>Thomas Boda</t>
  </si>
  <si>
    <t>thomas.boda@mathematic.tv</t>
  </si>
  <si>
    <t>Gabriela Velázquez</t>
  </si>
  <si>
    <t>aby@melocotonstudio.com</t>
  </si>
  <si>
    <t>figueroamoralesv@yahoo.com</t>
  </si>
  <si>
    <t>RIML820729878</t>
  </si>
  <si>
    <t>MAAS881017113</t>
  </si>
  <si>
    <t>AACD800702632</t>
  </si>
  <si>
    <t xml:space="preserve">Adolfo Fructuoso Garcia Mendez </t>
  </si>
  <si>
    <t>Lizbeth Ríos Manzanos</t>
  </si>
  <si>
    <t>CACD930824VE6</t>
  </si>
  <si>
    <t>QUPR951005GRA</t>
  </si>
  <si>
    <t>David Carretero Cruz</t>
  </si>
  <si>
    <t xml:space="preserve">Patricio Salvador  López Cuellar </t>
  </si>
  <si>
    <t>Ana Daniela Morales Alba</t>
  </si>
  <si>
    <t xml:space="preserve">Julio César Salazar Hernandez </t>
  </si>
  <si>
    <t>LOCP8204196F0</t>
  </si>
  <si>
    <t>MOAA870722GG3</t>
  </si>
  <si>
    <t>SAHJ960221G87</t>
  </si>
  <si>
    <t>AAFE800323QQ1</t>
  </si>
  <si>
    <t>David Alejandro Alatorre Carrillo</t>
  </si>
  <si>
    <t>Ricardo Donovan Quintero Palmerin</t>
  </si>
  <si>
    <t>GAMA8709274K4</t>
  </si>
  <si>
    <t>ale.kellyd@gmail.com</t>
  </si>
  <si>
    <t xml:space="preserve">Directora Digital </t>
  </si>
  <si>
    <t>silverio_vazcruz@hotmail.com</t>
  </si>
  <si>
    <t>Perro</t>
  </si>
  <si>
    <t>Alicia Speare Pimienta</t>
  </si>
  <si>
    <t>SEPA781030ANA</t>
  </si>
  <si>
    <t>SUPA790228AG0</t>
  </si>
  <si>
    <t>ALMUDENA SUAREZ PEÑALVA</t>
  </si>
  <si>
    <t>PERSONA FISICA</t>
  </si>
  <si>
    <t>PERSONA MORAL</t>
  </si>
  <si>
    <t>40337272X</t>
  </si>
  <si>
    <t xml:space="preserve">Extranjero </t>
  </si>
  <si>
    <t>Madrid</t>
  </si>
  <si>
    <t>OITG800117SV5</t>
  </si>
  <si>
    <t>BECG660528J10</t>
  </si>
  <si>
    <t>MEOS7810105R3</t>
  </si>
  <si>
    <t>Sergio Mercado Orozco</t>
  </si>
  <si>
    <t>Diego Ignacio Miranda Meneses</t>
  </si>
  <si>
    <t>MIMD910324FF7</t>
  </si>
  <si>
    <t>Lucio Gutierrez Uribe</t>
  </si>
  <si>
    <t>GUUL661213E92</t>
  </si>
  <si>
    <t>GABRIEL ROMERO TRUJILLO</t>
  </si>
  <si>
    <t>ROTG780731GL9</t>
  </si>
  <si>
    <t>David Bahena Escalante</t>
  </si>
  <si>
    <t>administracion@bahenavideo.com</t>
  </si>
  <si>
    <t>BAED720723CS8</t>
  </si>
  <si>
    <t>María Jocelyn Morales Cruz</t>
  </si>
  <si>
    <t>MOCJ930226I92</t>
  </si>
  <si>
    <t>Jan Carlos Guedez González</t>
  </si>
  <si>
    <t>GUGJ770112IR5</t>
  </si>
  <si>
    <t>Agencia publicitaria Garcet</t>
  </si>
  <si>
    <t>APG1912197I9</t>
  </si>
  <si>
    <t>ISRAEL ANTONIO JIMENEZ TAPIA</t>
  </si>
  <si>
    <t>JITI740724PQ8</t>
  </si>
  <si>
    <t>ESPACIO LIBELULA SA DE CV</t>
  </si>
  <si>
    <t>ELI2004149P8</t>
  </si>
  <si>
    <t>OIJU850327284</t>
  </si>
  <si>
    <t>MOFJ860627G99</t>
  </si>
  <si>
    <t>VACR7309071IA</t>
  </si>
  <si>
    <t>MARIEL KAREN MICHUA AGUILAR</t>
  </si>
  <si>
    <t>MIAM880125563</t>
  </si>
  <si>
    <t>DME190301J5A</t>
  </si>
  <si>
    <t>MIRIAM GABRIELA VICTORINO DOMINGUEZ</t>
  </si>
  <si>
    <t>VIDM780114P48</t>
  </si>
  <si>
    <t>GERARDO MARTINEZ VELAZQUEZ</t>
  </si>
  <si>
    <t>MAVG750505LMA</t>
  </si>
  <si>
    <t>Luis Constancio de La Cruz Álvarez</t>
  </si>
  <si>
    <t>CUAL840426GS6</t>
  </si>
  <si>
    <t>DIANA ROCIO GUTIERREZ FIERROS</t>
  </si>
  <si>
    <t>GUFD8208259D6</t>
  </si>
  <si>
    <t>Oscar Ivan Ayala Martinez</t>
  </si>
  <si>
    <t>AAMO8404086C2</t>
  </si>
  <si>
    <t>SALVADOR NAVA RAMÍREZ</t>
  </si>
  <si>
    <t>NARS730107G4</t>
  </si>
  <si>
    <t>Arturo Velazquez Aceves</t>
  </si>
  <si>
    <t>VEAA010611NY4</t>
  </si>
  <si>
    <t>velazquezarturo762@gmail.com</t>
  </si>
  <si>
    <t>REHV961128UR3</t>
  </si>
  <si>
    <t>MARTIN ARRIETA IZQUIERDO</t>
  </si>
  <si>
    <t>AIIM640517GC5</t>
  </si>
  <si>
    <t>VACL971226DH3</t>
  </si>
  <si>
    <t>LUIS FERNANDO VALENCIA CAMPOS</t>
  </si>
  <si>
    <t>OSCAR RODRIGO CRUZ TREJO</t>
  </si>
  <si>
    <t>CUTO880314PM3</t>
  </si>
  <si>
    <t>ALEJANDRO HERNANDEZ HERNANDEZ</t>
  </si>
  <si>
    <t>HEHA700318521</t>
  </si>
  <si>
    <t>Lucio Angel Moreno Ayala</t>
  </si>
  <si>
    <t>MOAL770813GY2</t>
  </si>
  <si>
    <t>NIRA ALEJANDRA KELLY DELGADO</t>
  </si>
  <si>
    <t>KEDN930923LI8</t>
  </si>
  <si>
    <t>SILVERIO VAZQUEZ CRUZ</t>
  </si>
  <si>
    <t>VACS7406056W6</t>
  </si>
  <si>
    <t>491420808000-25</t>
  </si>
  <si>
    <t>MARTELL TPP COMERCIALIZADORA</t>
  </si>
  <si>
    <t>MTC240626528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</si>
</sst>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Verdana"/>
      <family val="2"/>
    </font>
    <font>
      <sz val="12"/>
      <color theme="1"/>
      <name val="Verdana"/>
      <family val="2"/>
    </font>
    <font>
      <sz val="12"/>
      <name val="Verdana"/>
      <family val="2"/>
    </font>
    <font>
      <sz val="12"/>
      <color rgb="FF000000"/>
      <name val="Verdana"/>
      <family val="2"/>
    </font>
    <font>
      <u/>
      <sz val="12"/>
      <color theme="6" tint="-0.249977111117893"/>
      <name val="Verdana"/>
      <family val="2"/>
    </font>
    <font>
      <sz val="12"/>
      <color indexed="8"/>
      <name val="Verdana"/>
      <family val="2"/>
    </font>
    <font>
      <sz val="12"/>
      <color theme="10"/>
      <name val="Verdana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B3E1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164" fontId="6" fillId="0" borderId="0" applyFont="0" applyFill="0" applyBorder="0" applyAlignment="0" applyProtection="0"/>
  </cellStyleXfs>
  <cellXfs count="32">
    <xf numFmtId="0" fontId="0" fillId="0" borderId="0" xfId="0"/>
    <xf numFmtId="0" fontId="4" fillId="2" borderId="0" xfId="0" applyFont="1" applyFill="1"/>
    <xf numFmtId="0" fontId="1" fillId="0" borderId="0" xfId="0" applyFont="1"/>
    <xf numFmtId="0" fontId="3" fillId="0" borderId="0" xfId="0" applyFont="1" applyAlignment="1">
      <alignment horizontal="left"/>
    </xf>
    <xf numFmtId="0" fontId="2" fillId="3" borderId="0" xfId="0" applyFont="1" applyFill="1" applyAlignment="1">
      <alignment horizontal="center" vertical="center"/>
    </xf>
    <xf numFmtId="0" fontId="7" fillId="0" borderId="1" xfId="1" applyFont="1" applyBorder="1"/>
    <xf numFmtId="0" fontId="8" fillId="0" borderId="1" xfId="0" applyFont="1" applyBorder="1"/>
    <xf numFmtId="0" fontId="8" fillId="0" borderId="1" xfId="1" applyFont="1" applyBorder="1"/>
    <xf numFmtId="0" fontId="9" fillId="4" borderId="1" xfId="0" applyFont="1" applyFill="1" applyBorder="1"/>
    <xf numFmtId="0" fontId="7" fillId="0" borderId="1" xfId="1" applyFont="1" applyFill="1" applyBorder="1"/>
    <xf numFmtId="0" fontId="8" fillId="4" borderId="1" xfId="0" applyFont="1" applyFill="1" applyBorder="1"/>
    <xf numFmtId="0" fontId="0" fillId="0" borderId="1" xfId="0" applyBorder="1"/>
    <xf numFmtId="0" fontId="10" fillId="0" borderId="1" xfId="1" applyFont="1" applyBorder="1"/>
    <xf numFmtId="0" fontId="10" fillId="0" borderId="1" xfId="0" applyFont="1" applyBorder="1"/>
    <xf numFmtId="0" fontId="10" fillId="0" borderId="1" xfId="0" applyFont="1" applyBorder="1" applyAlignment="1">
      <alignment horizontal="left"/>
    </xf>
    <xf numFmtId="0" fontId="7" fillId="0" borderId="1" xfId="1" applyFont="1" applyBorder="1" applyAlignment="1">
      <alignment wrapText="1"/>
    </xf>
    <xf numFmtId="0" fontId="11" fillId="0" borderId="1" xfId="1" applyFont="1" applyBorder="1" applyAlignment="1">
      <alignment wrapText="1"/>
    </xf>
    <xf numFmtId="0" fontId="12" fillId="0" borderId="1" xfId="1" applyFont="1" applyBorder="1"/>
    <xf numFmtId="0" fontId="13" fillId="0" borderId="1" xfId="1" applyFont="1" applyBorder="1"/>
    <xf numFmtId="0" fontId="8" fillId="4" borderId="1" xfId="0" applyFont="1" applyFill="1" applyBorder="1" applyAlignment="1">
      <alignment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indent="1"/>
    </xf>
    <xf numFmtId="0" fontId="12" fillId="0" borderId="1" xfId="1" applyFont="1" applyFill="1" applyBorder="1"/>
    <xf numFmtId="0" fontId="5" fillId="0" borderId="1" xfId="1" applyBorder="1"/>
    <xf numFmtId="0" fontId="8" fillId="0" borderId="1" xfId="0" applyFont="1" applyBorder="1" applyAlignment="1">
      <alignment readingOrder="1"/>
    </xf>
    <xf numFmtId="0" fontId="5" fillId="0" borderId="1" xfId="1" applyBorder="1" applyAlignment="1">
      <alignment wrapText="1"/>
    </xf>
    <xf numFmtId="164" fontId="0" fillId="0" borderId="0" xfId="2" applyFont="1"/>
    <xf numFmtId="164" fontId="2" fillId="3" borderId="0" xfId="2" applyFont="1" applyFill="1" applyAlignment="1">
      <alignment horizontal="center" vertical="center" wrapText="1"/>
    </xf>
    <xf numFmtId="164" fontId="0" fillId="0" borderId="1" xfId="2" applyFont="1" applyBorder="1"/>
    <xf numFmtId="0" fontId="0" fillId="5" borderId="1" xfId="0" applyFill="1" applyBorder="1"/>
    <xf numFmtId="0" fontId="0" fillId="5" borderId="2" xfId="0" applyFill="1" applyBorder="1"/>
    <xf numFmtId="0" fontId="2" fillId="2" borderId="0" xfId="0" applyFont="1" applyFill="1" applyAlignment="1">
      <alignment horizontal="center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colors>
    <mruColors>
      <color rgb="FFC0E6F5"/>
      <color rgb="FF44B3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germanb66@yahoo.com.mx" TargetMode="External"/><Relationship Id="rId18" Type="http://schemas.openxmlformats.org/officeDocument/2006/relationships/hyperlink" Target="mailto:romero.gabriel1@gmail.com" TargetMode="External"/><Relationship Id="rId26" Type="http://schemas.openxmlformats.org/officeDocument/2006/relationships/hyperlink" Target="mailto:luorstreaming@gmail.com" TargetMode="External"/><Relationship Id="rId39" Type="http://schemas.openxmlformats.org/officeDocument/2006/relationships/hyperlink" Target="mailto:marielmichua@gmail.com" TargetMode="External"/><Relationship Id="rId21" Type="http://schemas.openxmlformats.org/officeDocument/2006/relationships/hyperlink" Target="mailto:juliansinomas@gmail.com" TargetMode="External"/><Relationship Id="rId34" Type="http://schemas.openxmlformats.org/officeDocument/2006/relationships/hyperlink" Target="mailto:almudenasuarezpenalva@gmail.com" TargetMode="External"/><Relationship Id="rId42" Type="http://schemas.openxmlformats.org/officeDocument/2006/relationships/hyperlink" Target="mailto:chejauregui@gmail.com" TargetMode="External"/><Relationship Id="rId47" Type="http://schemas.openxmlformats.org/officeDocument/2006/relationships/hyperlink" Target="mailto:arrizqui00@gmail.com" TargetMode="External"/><Relationship Id="rId50" Type="http://schemas.openxmlformats.org/officeDocument/2006/relationships/hyperlink" Target="mailto:ferchopinche@gmail.com" TargetMode="External"/><Relationship Id="rId55" Type="http://schemas.openxmlformats.org/officeDocument/2006/relationships/hyperlink" Target="mailto:thomas.boda@mathematic.tv" TargetMode="External"/><Relationship Id="rId7" Type="http://schemas.openxmlformats.org/officeDocument/2006/relationships/hyperlink" Target="mailto:lriosmanzanos@gmail.com" TargetMode="External"/><Relationship Id="rId2" Type="http://schemas.openxmlformats.org/officeDocument/2006/relationships/hyperlink" Target="mailto:ettoraro@gmail.com" TargetMode="External"/><Relationship Id="rId16" Type="http://schemas.openxmlformats.org/officeDocument/2006/relationships/hyperlink" Target="mailto:checoorozco10@hotmail.com" TargetMode="External"/><Relationship Id="rId29" Type="http://schemas.openxmlformats.org/officeDocument/2006/relationships/hyperlink" Target="mailto:chat.fotografia@gmail.com" TargetMode="External"/><Relationship Id="rId11" Type="http://schemas.openxmlformats.org/officeDocument/2006/relationships/hyperlink" Target="mailto:donovan2887@gmail.com" TargetMode="External"/><Relationship Id="rId24" Type="http://schemas.openxmlformats.org/officeDocument/2006/relationships/hyperlink" Target="mailto:ninamariagarcia16@gmail.com" TargetMode="External"/><Relationship Id="rId32" Type="http://schemas.openxmlformats.org/officeDocument/2006/relationships/hyperlink" Target="mailto:spacelibelula@gmail.com" TargetMode="External"/><Relationship Id="rId37" Type="http://schemas.openxmlformats.org/officeDocument/2006/relationships/hyperlink" Target="mailto:aliciaspeare@hotmail.com" TargetMode="External"/><Relationship Id="rId40" Type="http://schemas.openxmlformats.org/officeDocument/2006/relationships/hyperlink" Target="mailto:lesslycedillomakeup@gmail.com" TargetMode="External"/><Relationship Id="rId45" Type="http://schemas.openxmlformats.org/officeDocument/2006/relationships/hyperlink" Target="mailto:guichoker24@hotmail.com" TargetMode="External"/><Relationship Id="rId53" Type="http://schemas.openxmlformats.org/officeDocument/2006/relationships/hyperlink" Target="mailto:miguelmarsal13@gmail.com" TargetMode="External"/><Relationship Id="rId58" Type="http://schemas.openxmlformats.org/officeDocument/2006/relationships/hyperlink" Target="mailto:ale.kellyd@gmail.com" TargetMode="External"/><Relationship Id="rId5" Type="http://schemas.openxmlformats.org/officeDocument/2006/relationships/hyperlink" Target="mailto:ferto1971@gmail.com" TargetMode="External"/><Relationship Id="rId19" Type="http://schemas.openxmlformats.org/officeDocument/2006/relationships/hyperlink" Target="mailto:yoc._@hotmail.com" TargetMode="External"/><Relationship Id="rId4" Type="http://schemas.openxmlformats.org/officeDocument/2006/relationships/hyperlink" Target="mailto:alvaro.solerarpa@gmail.com" TargetMode="External"/><Relationship Id="rId9" Type="http://schemas.openxmlformats.org/officeDocument/2006/relationships/hyperlink" Target="mailto:danymoralba1987@gmail.com" TargetMode="External"/><Relationship Id="rId14" Type="http://schemas.openxmlformats.org/officeDocument/2006/relationships/hyperlink" Target="mailto:olivaresgalo@gmail.com" TargetMode="External"/><Relationship Id="rId22" Type="http://schemas.openxmlformats.org/officeDocument/2006/relationships/hyperlink" Target="mailto:maureyesgaffer@icloud.com" TargetMode="External"/><Relationship Id="rId27" Type="http://schemas.openxmlformats.org/officeDocument/2006/relationships/hyperlink" Target="mailto:info@wolfwender.com" TargetMode="External"/><Relationship Id="rId30" Type="http://schemas.openxmlformats.org/officeDocument/2006/relationships/hyperlink" Target="mailto:mariovelasquezaguilar@outlook.es" TargetMode="External"/><Relationship Id="rId35" Type="http://schemas.openxmlformats.org/officeDocument/2006/relationships/hyperlink" Target="mailto:jord_moises@hotmail.com" TargetMode="External"/><Relationship Id="rId43" Type="http://schemas.openxmlformats.org/officeDocument/2006/relationships/hyperlink" Target="mailto:gerylu@icloud.com" TargetMode="External"/><Relationship Id="rId48" Type="http://schemas.openxmlformats.org/officeDocument/2006/relationships/hyperlink" Target="mailto:bombonrolas@gmail.com" TargetMode="External"/><Relationship Id="rId56" Type="http://schemas.openxmlformats.org/officeDocument/2006/relationships/hyperlink" Target="mailto:aby@melocotonstudio.com" TargetMode="External"/><Relationship Id="rId8" Type="http://schemas.openxmlformats.org/officeDocument/2006/relationships/hyperlink" Target="mailto:lopez.pato19@gmail.com" TargetMode="External"/><Relationship Id="rId51" Type="http://schemas.openxmlformats.org/officeDocument/2006/relationships/hyperlink" Target="mailto:trejorodrigo658@gmail.com" TargetMode="External"/><Relationship Id="rId3" Type="http://schemas.openxmlformats.org/officeDocument/2006/relationships/hyperlink" Target="mailto:nutzz.mx@gmail.com" TargetMode="External"/><Relationship Id="rId12" Type="http://schemas.openxmlformats.org/officeDocument/2006/relationships/hyperlink" Target="mailto:grupo_bala_staff@hotmail.com" TargetMode="External"/><Relationship Id="rId17" Type="http://schemas.openxmlformats.org/officeDocument/2006/relationships/hyperlink" Target="mailto:administracion@bahenavideo.com" TargetMode="External"/><Relationship Id="rId25" Type="http://schemas.openxmlformats.org/officeDocument/2006/relationships/hyperlink" Target="mailto:rich8587@icloud.com" TargetMode="External"/><Relationship Id="rId33" Type="http://schemas.openxmlformats.org/officeDocument/2006/relationships/hyperlink" Target="mailto:spacelibelula@gmail.com" TargetMode="External"/><Relationship Id="rId38" Type="http://schemas.openxmlformats.org/officeDocument/2006/relationships/hyperlink" Target="mailto:varela-imagen@hotmail.com" TargetMode="External"/><Relationship Id="rId46" Type="http://schemas.openxmlformats.org/officeDocument/2006/relationships/hyperlink" Target="mailto:dgutierrez.apto@hotmail.com" TargetMode="External"/><Relationship Id="rId59" Type="http://schemas.openxmlformats.org/officeDocument/2006/relationships/hyperlink" Target="mailto:silverio_vazcruz@hotmail.com" TargetMode="External"/><Relationship Id="rId20" Type="http://schemas.openxmlformats.org/officeDocument/2006/relationships/hyperlink" Target="mailto:alatorre.david@gmail.com" TargetMode="External"/><Relationship Id="rId41" Type="http://schemas.openxmlformats.org/officeDocument/2006/relationships/hyperlink" Target="mailto:miriam_victorino@hotmail.com" TargetMode="External"/><Relationship Id="rId54" Type="http://schemas.openxmlformats.org/officeDocument/2006/relationships/hyperlink" Target="mailto:erendiraavalos@gmail.com" TargetMode="External"/><Relationship Id="rId1" Type="http://schemas.openxmlformats.org/officeDocument/2006/relationships/hyperlink" Target="mailto:ettoraro@gmail.com" TargetMode="External"/><Relationship Id="rId6" Type="http://schemas.openxmlformats.org/officeDocument/2006/relationships/hyperlink" Target="mailto:gusanloz@gmail.com" TargetMode="External"/><Relationship Id="rId15" Type="http://schemas.openxmlformats.org/officeDocument/2006/relationships/hyperlink" Target="mailto:info@diegoignacio.com" TargetMode="External"/><Relationship Id="rId23" Type="http://schemas.openxmlformats.org/officeDocument/2006/relationships/hyperlink" Target="mailto:jancarlosgg@hotmail.com" TargetMode="External"/><Relationship Id="rId28" Type="http://schemas.openxmlformats.org/officeDocument/2006/relationships/hyperlink" Target="mailto:gmanriquezorilla@gmail.com" TargetMode="External"/><Relationship Id="rId36" Type="http://schemas.openxmlformats.org/officeDocument/2006/relationships/hyperlink" Target="mailto:juanmanuelortiz828@gmail.com" TargetMode="External"/><Relationship Id="rId49" Type="http://schemas.openxmlformats.org/officeDocument/2006/relationships/hyperlink" Target="mailto:ALEJANDRO_HDZ_44@outlook.com" TargetMode="External"/><Relationship Id="rId57" Type="http://schemas.openxmlformats.org/officeDocument/2006/relationships/hyperlink" Target="mailto:figueroamoralesv@yahoo.com" TargetMode="External"/><Relationship Id="rId10" Type="http://schemas.openxmlformats.org/officeDocument/2006/relationships/hyperlink" Target="mailto:jcesarshndz@gmail.com" TargetMode="External"/><Relationship Id="rId31" Type="http://schemas.openxmlformats.org/officeDocument/2006/relationships/hyperlink" Target="mailto:spacelibelula@gmail.com" TargetMode="External"/><Relationship Id="rId44" Type="http://schemas.openxmlformats.org/officeDocument/2006/relationships/hyperlink" Target="mailto:leonardo.reyes@efd.com.mx" TargetMode="External"/><Relationship Id="rId52" Type="http://schemas.openxmlformats.org/officeDocument/2006/relationships/hyperlink" Target="mailto:viridianareyes281196@gmail.com" TargetMode="External"/><Relationship Id="rId60" Type="http://schemas.openxmlformats.org/officeDocument/2006/relationships/hyperlink" Target="mailto:velazquezarturo76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1307-4B5D-419C-B0AA-E11DEF013628}">
  <dimension ref="A1:H76"/>
  <sheetViews>
    <sheetView tabSelected="1" zoomScale="139" workbookViewId="0">
      <selection activeCell="C5" sqref="C5"/>
    </sheetView>
  </sheetViews>
  <sheetFormatPr baseColWidth="10" defaultColWidth="8.83203125" defaultRowHeight="15" x14ac:dyDescent="0.2"/>
  <cols>
    <col min="1" max="1" width="17.33203125" customWidth="1"/>
    <col min="2" max="2" width="40.1640625" customWidth="1"/>
    <col min="3" max="3" width="41.33203125" customWidth="1"/>
    <col min="4" max="4" width="38" customWidth="1"/>
    <col min="5" max="5" width="16.33203125" style="26" customWidth="1"/>
    <col min="6" max="6" width="16.33203125" bestFit="1" customWidth="1"/>
  </cols>
  <sheetData>
    <row r="1" spans="1:8" ht="16" x14ac:dyDescent="0.2">
      <c r="C1" s="1" t="s">
        <v>0</v>
      </c>
      <c r="D1" s="2" t="s">
        <v>8</v>
      </c>
    </row>
    <row r="2" spans="1:8" ht="16" x14ac:dyDescent="0.2">
      <c r="C2" s="1" t="s">
        <v>7</v>
      </c>
      <c r="D2" s="3">
        <v>24090</v>
      </c>
    </row>
    <row r="4" spans="1:8" x14ac:dyDescent="0.2">
      <c r="A4" s="31" t="s">
        <v>4</v>
      </c>
      <c r="B4" s="31"/>
      <c r="C4" s="31"/>
      <c r="D4" s="31"/>
      <c r="E4" s="31"/>
      <c r="F4" s="31"/>
    </row>
    <row r="5" spans="1:8" ht="48" x14ac:dyDescent="0.2">
      <c r="A5" s="4" t="s">
        <v>1</v>
      </c>
      <c r="B5" s="4" t="s">
        <v>3</v>
      </c>
      <c r="C5" s="4" t="s">
        <v>2</v>
      </c>
      <c r="D5" s="4" t="s">
        <v>5</v>
      </c>
      <c r="E5" s="27" t="s">
        <v>9</v>
      </c>
      <c r="F5" s="4" t="s">
        <v>6</v>
      </c>
    </row>
    <row r="6" spans="1:8" ht="16" x14ac:dyDescent="0.2">
      <c r="A6" s="29"/>
      <c r="B6" s="6" t="s">
        <v>16</v>
      </c>
      <c r="C6" s="5" t="s">
        <v>10</v>
      </c>
      <c r="D6" s="11" t="s">
        <v>21</v>
      </c>
      <c r="E6" s="28">
        <f>35000*3</f>
        <v>105000</v>
      </c>
      <c r="F6" s="11" t="s">
        <v>185</v>
      </c>
    </row>
    <row r="7" spans="1:8" ht="16" x14ac:dyDescent="0.2">
      <c r="A7" s="29"/>
      <c r="B7" s="6" t="s">
        <v>17</v>
      </c>
      <c r="C7" s="5" t="s">
        <v>11</v>
      </c>
      <c r="D7" s="11" t="s">
        <v>22</v>
      </c>
      <c r="E7" s="28">
        <f>14000*3</f>
        <v>42000</v>
      </c>
      <c r="F7" s="11" t="s">
        <v>185</v>
      </c>
    </row>
    <row r="8" spans="1:8" ht="16" x14ac:dyDescent="0.2">
      <c r="A8" s="29"/>
      <c r="B8" s="6" t="s">
        <v>18</v>
      </c>
      <c r="C8" s="5" t="s">
        <v>12</v>
      </c>
      <c r="D8" s="11" t="s">
        <v>23</v>
      </c>
      <c r="E8" s="28">
        <f>6000*3</f>
        <v>18000</v>
      </c>
      <c r="F8" s="11" t="s">
        <v>185</v>
      </c>
    </row>
    <row r="9" spans="1:8" ht="16" x14ac:dyDescent="0.2">
      <c r="A9" s="29"/>
      <c r="B9" s="6" t="s">
        <v>19</v>
      </c>
      <c r="C9" s="5" t="s">
        <v>13</v>
      </c>
      <c r="D9" s="11" t="s">
        <v>23</v>
      </c>
      <c r="E9" s="28">
        <f>4000*3</f>
        <v>12000</v>
      </c>
      <c r="F9" s="11" t="s">
        <v>185</v>
      </c>
    </row>
    <row r="10" spans="1:8" ht="16" x14ac:dyDescent="0.2">
      <c r="A10" t="s">
        <v>187</v>
      </c>
      <c r="B10" s="6" t="s">
        <v>20</v>
      </c>
      <c r="C10" s="5" t="s">
        <v>14</v>
      </c>
      <c r="D10" s="6" t="s">
        <v>24</v>
      </c>
      <c r="E10" s="28"/>
      <c r="F10" s="11"/>
      <c r="G10" t="s">
        <v>188</v>
      </c>
      <c r="H10" t="s">
        <v>189</v>
      </c>
    </row>
    <row r="11" spans="1:8" ht="16" x14ac:dyDescent="0.2">
      <c r="A11" s="11" t="s">
        <v>251</v>
      </c>
      <c r="B11" s="7" t="s">
        <v>250</v>
      </c>
      <c r="C11" s="5" t="s">
        <v>15</v>
      </c>
      <c r="D11" s="11" t="s">
        <v>25</v>
      </c>
      <c r="E11" s="28">
        <v>68000</v>
      </c>
      <c r="F11" s="11" t="s">
        <v>185</v>
      </c>
    </row>
    <row r="12" spans="1:8" ht="16" x14ac:dyDescent="0.2">
      <c r="A12" s="11" t="s">
        <v>170</v>
      </c>
      <c r="B12" s="8" t="s">
        <v>167</v>
      </c>
      <c r="C12" s="9" t="s">
        <v>26</v>
      </c>
      <c r="D12" s="6" t="s">
        <v>33</v>
      </c>
      <c r="E12" s="28">
        <v>105000</v>
      </c>
      <c r="F12" s="11" t="s">
        <v>185</v>
      </c>
    </row>
    <row r="13" spans="1:8" ht="16" x14ac:dyDescent="0.2">
      <c r="A13" s="11" t="s">
        <v>171</v>
      </c>
      <c r="B13" s="10" t="s">
        <v>168</v>
      </c>
      <c r="C13" s="5" t="s">
        <v>27</v>
      </c>
      <c r="D13" s="6" t="s">
        <v>34</v>
      </c>
      <c r="E13" s="28">
        <v>54000</v>
      </c>
      <c r="F13" s="11" t="s">
        <v>185</v>
      </c>
    </row>
    <row r="14" spans="1:8" ht="16" x14ac:dyDescent="0.2">
      <c r="A14" s="11" t="s">
        <v>176</v>
      </c>
      <c r="B14" s="10" t="s">
        <v>162</v>
      </c>
      <c r="C14" s="5" t="s">
        <v>28</v>
      </c>
      <c r="D14" s="6" t="s">
        <v>35</v>
      </c>
      <c r="E14" s="28">
        <v>54000</v>
      </c>
      <c r="F14" s="11" t="s">
        <v>185</v>
      </c>
    </row>
    <row r="15" spans="1:8" ht="16" x14ac:dyDescent="0.2">
      <c r="A15" s="11" t="s">
        <v>159</v>
      </c>
      <c r="B15" s="10" t="s">
        <v>163</v>
      </c>
      <c r="C15" s="5" t="s">
        <v>29</v>
      </c>
      <c r="D15" s="6" t="s">
        <v>36</v>
      </c>
      <c r="E15" s="28">
        <v>30000</v>
      </c>
      <c r="F15" s="11" t="s">
        <v>185</v>
      </c>
    </row>
    <row r="16" spans="1:8" ht="16" x14ac:dyDescent="0.2">
      <c r="A16" s="11" t="s">
        <v>164</v>
      </c>
      <c r="B16" s="10" t="s">
        <v>166</v>
      </c>
      <c r="C16" s="5" t="s">
        <v>30</v>
      </c>
      <c r="D16" s="6" t="s">
        <v>37</v>
      </c>
      <c r="E16" s="28">
        <f>8000*3</f>
        <v>24000</v>
      </c>
      <c r="F16" s="11" t="s">
        <v>185</v>
      </c>
    </row>
    <row r="17" spans="1:6" ht="16" x14ac:dyDescent="0.2">
      <c r="A17" s="11" t="s">
        <v>172</v>
      </c>
      <c r="B17" s="10" t="s">
        <v>169</v>
      </c>
      <c r="C17" s="5" t="s">
        <v>31</v>
      </c>
      <c r="D17" s="6" t="s">
        <v>38</v>
      </c>
      <c r="E17" s="28">
        <f>6000*3</f>
        <v>18000</v>
      </c>
      <c r="F17" s="11" t="s">
        <v>185</v>
      </c>
    </row>
    <row r="18" spans="1:6" ht="16" x14ac:dyDescent="0.2">
      <c r="A18" s="11" t="s">
        <v>165</v>
      </c>
      <c r="B18" s="10" t="s">
        <v>175</v>
      </c>
      <c r="C18" s="5" t="s">
        <v>32</v>
      </c>
      <c r="D18" s="6" t="s">
        <v>39</v>
      </c>
      <c r="E18" s="28">
        <f>4000*3</f>
        <v>12000</v>
      </c>
      <c r="F18" s="11" t="s">
        <v>185</v>
      </c>
    </row>
    <row r="19" spans="1:6" ht="16" x14ac:dyDescent="0.2">
      <c r="A19" s="11" t="s">
        <v>160</v>
      </c>
      <c r="B19" s="6" t="s">
        <v>40</v>
      </c>
      <c r="C19" s="5" t="s">
        <v>41</v>
      </c>
      <c r="D19" s="6" t="s">
        <v>49</v>
      </c>
      <c r="E19" s="28">
        <v>90000</v>
      </c>
      <c r="F19" s="11" t="s">
        <v>185</v>
      </c>
    </row>
    <row r="20" spans="1:6" ht="16" x14ac:dyDescent="0.2">
      <c r="A20" s="11" t="s">
        <v>190</v>
      </c>
      <c r="B20" s="6" t="s">
        <v>42</v>
      </c>
      <c r="C20" s="5" t="s">
        <v>43</v>
      </c>
      <c r="D20" s="6" t="s">
        <v>50</v>
      </c>
      <c r="E20" s="28">
        <v>378400</v>
      </c>
      <c r="F20" s="11" t="s">
        <v>185</v>
      </c>
    </row>
    <row r="21" spans="1:6" ht="16" x14ac:dyDescent="0.2">
      <c r="A21" s="11" t="s">
        <v>191</v>
      </c>
      <c r="B21" s="6" t="s">
        <v>44</v>
      </c>
      <c r="C21" s="5" t="s">
        <v>45</v>
      </c>
      <c r="D21" s="6" t="s">
        <v>51</v>
      </c>
      <c r="E21" s="28"/>
      <c r="F21" s="11" t="s">
        <v>185</v>
      </c>
    </row>
    <row r="22" spans="1:6" ht="16" x14ac:dyDescent="0.2">
      <c r="A22" s="11" t="s">
        <v>192</v>
      </c>
      <c r="B22" s="6" t="s">
        <v>193</v>
      </c>
      <c r="C22" s="5" t="s">
        <v>46</v>
      </c>
      <c r="D22" s="6" t="s">
        <v>52</v>
      </c>
      <c r="E22" s="28"/>
      <c r="F22" s="11" t="s">
        <v>185</v>
      </c>
    </row>
    <row r="23" spans="1:6" ht="16" x14ac:dyDescent="0.2">
      <c r="A23" s="11" t="s">
        <v>195</v>
      </c>
      <c r="B23" s="6" t="s">
        <v>194</v>
      </c>
      <c r="C23" s="5" t="s">
        <v>47</v>
      </c>
      <c r="D23" s="6" t="s">
        <v>53</v>
      </c>
      <c r="E23" s="28"/>
      <c r="F23" s="11" t="s">
        <v>185</v>
      </c>
    </row>
    <row r="24" spans="1:6" ht="16" x14ac:dyDescent="0.2">
      <c r="A24" s="11" t="s">
        <v>197</v>
      </c>
      <c r="B24" s="6" t="s">
        <v>196</v>
      </c>
      <c r="C24" s="5" t="s">
        <v>48</v>
      </c>
      <c r="D24" s="6" t="s">
        <v>54</v>
      </c>
      <c r="E24" s="28"/>
      <c r="F24" s="11" t="s">
        <v>185</v>
      </c>
    </row>
    <row r="25" spans="1:6" ht="16" x14ac:dyDescent="0.2">
      <c r="A25" s="11" t="s">
        <v>199</v>
      </c>
      <c r="B25" s="12" t="s">
        <v>198</v>
      </c>
      <c r="C25" s="5" t="s">
        <v>57</v>
      </c>
      <c r="D25" s="6" t="s">
        <v>55</v>
      </c>
      <c r="E25" s="28">
        <v>61500</v>
      </c>
      <c r="F25" s="11" t="s">
        <v>185</v>
      </c>
    </row>
    <row r="26" spans="1:6" ht="16" x14ac:dyDescent="0.2">
      <c r="A26" s="11" t="s">
        <v>202</v>
      </c>
      <c r="B26" s="12" t="s">
        <v>200</v>
      </c>
      <c r="C26" s="23" t="s">
        <v>201</v>
      </c>
      <c r="D26" s="6" t="s">
        <v>56</v>
      </c>
      <c r="E26" s="28"/>
      <c r="F26" s="11" t="s">
        <v>185</v>
      </c>
    </row>
    <row r="27" spans="1:6" ht="16" x14ac:dyDescent="0.2">
      <c r="A27" s="11" t="s">
        <v>204</v>
      </c>
      <c r="B27" s="12" t="s">
        <v>203</v>
      </c>
      <c r="C27" s="23" t="s">
        <v>58</v>
      </c>
      <c r="D27" s="13" t="s">
        <v>21</v>
      </c>
      <c r="E27" s="28">
        <f>18000*3</f>
        <v>54000</v>
      </c>
      <c r="F27" s="11" t="s">
        <v>185</v>
      </c>
    </row>
    <row r="28" spans="1:6" ht="16" x14ac:dyDescent="0.2">
      <c r="A28" s="11" t="s">
        <v>161</v>
      </c>
      <c r="B28" s="12" t="s">
        <v>174</v>
      </c>
      <c r="C28" s="5" t="s">
        <v>59</v>
      </c>
      <c r="D28" s="13" t="s">
        <v>73</v>
      </c>
      <c r="E28" s="28">
        <v>30000</v>
      </c>
      <c r="F28" s="11" t="s">
        <v>185</v>
      </c>
    </row>
    <row r="29" spans="1:6" ht="16" x14ac:dyDescent="0.2">
      <c r="A29" s="29"/>
      <c r="B29" s="12" t="s">
        <v>60</v>
      </c>
      <c r="C29" s="5" t="s">
        <v>61</v>
      </c>
      <c r="D29" s="6" t="s">
        <v>38</v>
      </c>
      <c r="E29" s="28">
        <v>9000</v>
      </c>
      <c r="F29" s="11" t="s">
        <v>185</v>
      </c>
    </row>
    <row r="30" spans="1:6" ht="16" x14ac:dyDescent="0.2">
      <c r="A30" s="29"/>
      <c r="B30" s="12" t="s">
        <v>62</v>
      </c>
      <c r="C30" s="23" t="s">
        <v>63</v>
      </c>
      <c r="D30" s="13" t="s">
        <v>74</v>
      </c>
      <c r="E30" s="28">
        <v>50000</v>
      </c>
      <c r="F30" s="11" t="s">
        <v>185</v>
      </c>
    </row>
    <row r="31" spans="1:6" ht="16" x14ac:dyDescent="0.2">
      <c r="A31" s="11" t="s">
        <v>206</v>
      </c>
      <c r="B31" s="12" t="s">
        <v>205</v>
      </c>
      <c r="C31" s="5" t="s">
        <v>64</v>
      </c>
      <c r="D31" s="13" t="s">
        <v>75</v>
      </c>
      <c r="E31" s="28"/>
      <c r="F31" s="11" t="s">
        <v>185</v>
      </c>
    </row>
    <row r="32" spans="1:6" ht="16" x14ac:dyDescent="0.2">
      <c r="A32" s="29"/>
      <c r="B32" s="12" t="s">
        <v>65</v>
      </c>
      <c r="C32" s="23" t="s">
        <v>66</v>
      </c>
      <c r="D32" s="14" t="s">
        <v>76</v>
      </c>
      <c r="E32" s="28"/>
      <c r="F32" s="11" t="s">
        <v>185</v>
      </c>
    </row>
    <row r="33" spans="1:6" ht="16" x14ac:dyDescent="0.2">
      <c r="A33" s="29"/>
      <c r="B33" s="12" t="s">
        <v>67</v>
      </c>
      <c r="C33" s="5" t="s">
        <v>68</v>
      </c>
      <c r="D33" s="13" t="s">
        <v>71</v>
      </c>
      <c r="E33" s="28"/>
      <c r="F33" s="11" t="s">
        <v>185</v>
      </c>
    </row>
    <row r="34" spans="1:6" ht="16" x14ac:dyDescent="0.2">
      <c r="A34" s="29"/>
      <c r="B34" s="12" t="s">
        <v>69</v>
      </c>
      <c r="C34" s="5" t="s">
        <v>70</v>
      </c>
      <c r="D34" s="13" t="s">
        <v>72</v>
      </c>
      <c r="E34" s="28"/>
      <c r="F34" s="11" t="s">
        <v>185</v>
      </c>
    </row>
    <row r="35" spans="1:6" ht="16" x14ac:dyDescent="0.2">
      <c r="A35" s="11" t="s">
        <v>208</v>
      </c>
      <c r="B35" s="12" t="s">
        <v>207</v>
      </c>
      <c r="C35" s="5" t="s">
        <v>77</v>
      </c>
      <c r="D35" s="13" t="s">
        <v>82</v>
      </c>
      <c r="E35" s="28">
        <v>35000</v>
      </c>
      <c r="F35" s="11" t="s">
        <v>185</v>
      </c>
    </row>
    <row r="36" spans="1:6" ht="16" x14ac:dyDescent="0.2">
      <c r="A36" s="29"/>
      <c r="B36" s="12" t="s">
        <v>78</v>
      </c>
      <c r="C36" s="5" t="s">
        <v>79</v>
      </c>
      <c r="D36" s="13" t="s">
        <v>83</v>
      </c>
      <c r="E36" s="28">
        <v>11250</v>
      </c>
      <c r="F36" s="11" t="s">
        <v>185</v>
      </c>
    </row>
    <row r="37" spans="1:6" ht="16" x14ac:dyDescent="0.2">
      <c r="A37" s="29"/>
      <c r="B37" s="12" t="s">
        <v>80</v>
      </c>
      <c r="C37" s="5" t="s">
        <v>81</v>
      </c>
      <c r="D37" s="6" t="s">
        <v>83</v>
      </c>
      <c r="E37" s="28">
        <v>11250</v>
      </c>
      <c r="F37" s="11" t="s">
        <v>185</v>
      </c>
    </row>
    <row r="38" spans="1:6" ht="16" x14ac:dyDescent="0.2">
      <c r="A38" s="11" t="s">
        <v>210</v>
      </c>
      <c r="B38" s="12" t="s">
        <v>209</v>
      </c>
      <c r="C38" s="5" t="s">
        <v>86</v>
      </c>
      <c r="D38" s="13" t="s">
        <v>84</v>
      </c>
      <c r="E38" s="28"/>
      <c r="F38" s="11" t="s">
        <v>185</v>
      </c>
    </row>
    <row r="39" spans="1:6" ht="16" x14ac:dyDescent="0.2">
      <c r="A39" s="29"/>
      <c r="B39" s="12" t="s">
        <v>87</v>
      </c>
      <c r="C39" s="5" t="s">
        <v>88</v>
      </c>
      <c r="D39" s="6" t="s">
        <v>85</v>
      </c>
      <c r="E39" s="28"/>
      <c r="F39" s="11" t="s">
        <v>185</v>
      </c>
    </row>
    <row r="40" spans="1:6" ht="16" x14ac:dyDescent="0.2">
      <c r="A40" t="s">
        <v>212</v>
      </c>
      <c r="B40" s="11" t="s">
        <v>211</v>
      </c>
      <c r="C40" s="5" t="s">
        <v>89</v>
      </c>
      <c r="D40" s="6" t="s">
        <v>90</v>
      </c>
      <c r="E40" s="28">
        <f>45000*3</f>
        <v>135000</v>
      </c>
      <c r="F40" s="11" t="s">
        <v>186</v>
      </c>
    </row>
    <row r="41" spans="1:6" ht="16" x14ac:dyDescent="0.2">
      <c r="A41" t="s">
        <v>212</v>
      </c>
      <c r="B41" s="11" t="s">
        <v>211</v>
      </c>
      <c r="C41" s="5" t="s">
        <v>89</v>
      </c>
      <c r="D41" s="20" t="s">
        <v>91</v>
      </c>
      <c r="E41" s="28">
        <v>75000</v>
      </c>
      <c r="F41" s="11" t="s">
        <v>186</v>
      </c>
    </row>
    <row r="42" spans="1:6" ht="16" x14ac:dyDescent="0.2">
      <c r="A42" t="s">
        <v>212</v>
      </c>
      <c r="B42" s="11" t="s">
        <v>211</v>
      </c>
      <c r="C42" s="5" t="s">
        <v>89</v>
      </c>
      <c r="D42" s="20" t="s">
        <v>92</v>
      </c>
      <c r="E42" s="28"/>
      <c r="F42" s="11" t="s">
        <v>186</v>
      </c>
    </row>
    <row r="43" spans="1:6" ht="16" x14ac:dyDescent="0.2">
      <c r="A43" s="11" t="s">
        <v>183</v>
      </c>
      <c r="B43" s="6" t="s">
        <v>184</v>
      </c>
      <c r="C43" s="5" t="s">
        <v>95</v>
      </c>
      <c r="D43" s="6" t="s">
        <v>93</v>
      </c>
      <c r="E43" s="28">
        <v>60000</v>
      </c>
      <c r="F43" s="11" t="s">
        <v>185</v>
      </c>
    </row>
    <row r="44" spans="1:6" ht="16" x14ac:dyDescent="0.2">
      <c r="A44" s="11" t="s">
        <v>213</v>
      </c>
      <c r="B44" s="6" t="s">
        <v>96</v>
      </c>
      <c r="C44" s="5" t="s">
        <v>97</v>
      </c>
      <c r="D44" s="6" t="s">
        <v>94</v>
      </c>
      <c r="E44" s="28"/>
      <c r="F44" s="11" t="s">
        <v>185</v>
      </c>
    </row>
    <row r="45" spans="1:6" ht="16" x14ac:dyDescent="0.2">
      <c r="A45" s="11" t="s">
        <v>214</v>
      </c>
      <c r="B45" s="7" t="s">
        <v>98</v>
      </c>
      <c r="C45" s="5" t="s">
        <v>99</v>
      </c>
      <c r="D45" s="6" t="s">
        <v>94</v>
      </c>
      <c r="E45" s="28"/>
      <c r="F45" s="11" t="s">
        <v>185</v>
      </c>
    </row>
    <row r="46" spans="1:6" ht="16" x14ac:dyDescent="0.2">
      <c r="A46" s="29"/>
      <c r="B46" s="7" t="s">
        <v>100</v>
      </c>
      <c r="C46" s="5" t="s">
        <v>101</v>
      </c>
      <c r="D46" s="6" t="s">
        <v>94</v>
      </c>
      <c r="E46" s="28"/>
      <c r="F46" s="11" t="s">
        <v>185</v>
      </c>
    </row>
    <row r="47" spans="1:6" ht="16" x14ac:dyDescent="0.2">
      <c r="A47" s="11" t="s">
        <v>182</v>
      </c>
      <c r="B47" s="7" t="s">
        <v>181</v>
      </c>
      <c r="C47" s="5" t="s">
        <v>104</v>
      </c>
      <c r="D47" s="6" t="s">
        <v>102</v>
      </c>
      <c r="E47" s="28">
        <v>42000</v>
      </c>
      <c r="F47" s="11" t="s">
        <v>185</v>
      </c>
    </row>
    <row r="48" spans="1:6" ht="16" x14ac:dyDescent="0.2">
      <c r="A48" s="11" t="s">
        <v>215</v>
      </c>
      <c r="B48" s="7" t="s">
        <v>105</v>
      </c>
      <c r="C48" s="5" t="s">
        <v>106</v>
      </c>
      <c r="D48" s="6" t="s">
        <v>103</v>
      </c>
      <c r="E48" s="28"/>
      <c r="F48" s="11" t="s">
        <v>185</v>
      </c>
    </row>
    <row r="49" spans="1:6" ht="16" x14ac:dyDescent="0.2">
      <c r="A49" s="11" t="s">
        <v>217</v>
      </c>
      <c r="B49" s="7" t="s">
        <v>216</v>
      </c>
      <c r="C49" s="23" t="s">
        <v>107</v>
      </c>
      <c r="D49" s="6" t="s">
        <v>103</v>
      </c>
      <c r="E49" s="28"/>
      <c r="F49" s="11" t="s">
        <v>185</v>
      </c>
    </row>
    <row r="50" spans="1:6" ht="16" x14ac:dyDescent="0.2">
      <c r="A50" s="11" t="s">
        <v>218</v>
      </c>
      <c r="B50" s="6" t="s">
        <v>108</v>
      </c>
      <c r="C50" s="5" t="s">
        <v>109</v>
      </c>
      <c r="D50" s="20" t="s">
        <v>103</v>
      </c>
      <c r="E50" s="28"/>
      <c r="F50" s="11" t="s">
        <v>185</v>
      </c>
    </row>
    <row r="51" spans="1:6" ht="16" x14ac:dyDescent="0.2">
      <c r="A51" s="11" t="s">
        <v>220</v>
      </c>
      <c r="B51" s="6" t="s">
        <v>219</v>
      </c>
      <c r="C51" s="5" t="s">
        <v>110</v>
      </c>
      <c r="D51" s="20" t="s">
        <v>103</v>
      </c>
      <c r="E51" s="28"/>
      <c r="F51" s="11" t="s">
        <v>185</v>
      </c>
    </row>
    <row r="52" spans="1:6" ht="23" customHeight="1" x14ac:dyDescent="0.2">
      <c r="A52" s="29"/>
      <c r="B52" s="6" t="s">
        <v>111</v>
      </c>
      <c r="C52" s="15" t="s">
        <v>112</v>
      </c>
      <c r="D52" s="20" t="s">
        <v>103</v>
      </c>
      <c r="E52" s="28"/>
      <c r="F52" s="11" t="s">
        <v>185</v>
      </c>
    </row>
    <row r="53" spans="1:6" ht="17" x14ac:dyDescent="0.2">
      <c r="A53" s="29"/>
      <c r="B53" s="6" t="s">
        <v>113</v>
      </c>
      <c r="C53" s="16" t="s">
        <v>114</v>
      </c>
      <c r="D53" s="20" t="s">
        <v>103</v>
      </c>
      <c r="E53" s="28"/>
      <c r="F53" s="11" t="s">
        <v>185</v>
      </c>
    </row>
    <row r="54" spans="1:6" ht="16" x14ac:dyDescent="0.2">
      <c r="A54" s="11" t="s">
        <v>222</v>
      </c>
      <c r="B54" s="6" t="s">
        <v>221</v>
      </c>
      <c r="C54" s="5" t="s">
        <v>115</v>
      </c>
      <c r="D54" s="20" t="s">
        <v>116</v>
      </c>
      <c r="E54" s="28"/>
      <c r="F54" s="11" t="s">
        <v>185</v>
      </c>
    </row>
    <row r="55" spans="1:6" ht="16" x14ac:dyDescent="0.2">
      <c r="A55" s="29"/>
      <c r="B55" s="6" t="s">
        <v>118</v>
      </c>
      <c r="C55" s="5" t="s">
        <v>119</v>
      </c>
      <c r="D55" s="20" t="s">
        <v>117</v>
      </c>
      <c r="E55" s="28"/>
      <c r="F55" s="11" t="s">
        <v>185</v>
      </c>
    </row>
    <row r="56" spans="1:6" ht="16" x14ac:dyDescent="0.2">
      <c r="A56" s="11" t="s">
        <v>224</v>
      </c>
      <c r="B56" s="17" t="s">
        <v>223</v>
      </c>
      <c r="C56" s="5" t="s">
        <v>132</v>
      </c>
      <c r="D56" s="21" t="s">
        <v>120</v>
      </c>
      <c r="E56" s="28"/>
      <c r="F56" s="11" t="s">
        <v>185</v>
      </c>
    </row>
    <row r="57" spans="1:6" ht="16" x14ac:dyDescent="0.2">
      <c r="A57" s="11" t="s">
        <v>226</v>
      </c>
      <c r="B57" s="17" t="s">
        <v>225</v>
      </c>
      <c r="C57" s="5" t="s">
        <v>133</v>
      </c>
      <c r="D57" s="21" t="s">
        <v>121</v>
      </c>
      <c r="E57" s="28"/>
      <c r="F57" s="11" t="s">
        <v>185</v>
      </c>
    </row>
    <row r="58" spans="1:6" ht="16" x14ac:dyDescent="0.2">
      <c r="A58" s="11" t="s">
        <v>228</v>
      </c>
      <c r="B58" s="17" t="s">
        <v>227</v>
      </c>
      <c r="C58" s="5" t="s">
        <v>134</v>
      </c>
      <c r="D58" s="21" t="s">
        <v>122</v>
      </c>
      <c r="E58" s="28"/>
      <c r="F58" s="11" t="s">
        <v>185</v>
      </c>
    </row>
    <row r="59" spans="1:6" ht="16" x14ac:dyDescent="0.2">
      <c r="A59" s="11" t="s">
        <v>230</v>
      </c>
      <c r="B59" s="17" t="s">
        <v>229</v>
      </c>
      <c r="C59" s="5" t="s">
        <v>135</v>
      </c>
      <c r="D59" s="21" t="s">
        <v>123</v>
      </c>
      <c r="E59" s="28"/>
      <c r="F59" s="11" t="s">
        <v>185</v>
      </c>
    </row>
    <row r="60" spans="1:6" ht="16" x14ac:dyDescent="0.2">
      <c r="A60" s="29"/>
      <c r="B60" s="17" t="s">
        <v>136</v>
      </c>
      <c r="C60" s="18" t="s">
        <v>137</v>
      </c>
      <c r="D60" s="21" t="s">
        <v>124</v>
      </c>
      <c r="E60" s="28"/>
      <c r="F60" s="11" t="s">
        <v>185</v>
      </c>
    </row>
    <row r="61" spans="1:6" ht="16" x14ac:dyDescent="0.2">
      <c r="A61" s="29"/>
      <c r="B61" s="17" t="s">
        <v>138</v>
      </c>
      <c r="C61" s="18" t="s">
        <v>137</v>
      </c>
      <c r="D61" s="21" t="s">
        <v>125</v>
      </c>
      <c r="E61" s="28"/>
      <c r="F61" s="11" t="s">
        <v>185</v>
      </c>
    </row>
    <row r="62" spans="1:6" ht="16" x14ac:dyDescent="0.2">
      <c r="A62" s="11" t="s">
        <v>232</v>
      </c>
      <c r="B62" s="17" t="s">
        <v>231</v>
      </c>
      <c r="C62" s="23" t="s">
        <v>233</v>
      </c>
      <c r="D62" s="21" t="s">
        <v>125</v>
      </c>
      <c r="E62" s="28"/>
      <c r="F62" s="11" t="s">
        <v>185</v>
      </c>
    </row>
    <row r="63" spans="1:6" ht="16" x14ac:dyDescent="0.2">
      <c r="A63" s="11" t="s">
        <v>234</v>
      </c>
      <c r="B63" s="17" t="s">
        <v>139</v>
      </c>
      <c r="C63" s="5" t="s">
        <v>140</v>
      </c>
      <c r="D63" s="21" t="s">
        <v>126</v>
      </c>
      <c r="E63" s="28"/>
      <c r="F63" s="11" t="s">
        <v>185</v>
      </c>
    </row>
    <row r="64" spans="1:6" ht="16" x14ac:dyDescent="0.2">
      <c r="A64" s="11" t="s">
        <v>236</v>
      </c>
      <c r="B64" s="17" t="s">
        <v>235</v>
      </c>
      <c r="C64" s="5" t="s">
        <v>141</v>
      </c>
      <c r="D64" s="21" t="s">
        <v>127</v>
      </c>
      <c r="E64" s="28"/>
      <c r="F64" s="11" t="s">
        <v>185</v>
      </c>
    </row>
    <row r="65" spans="1:6" ht="16" x14ac:dyDescent="0.2">
      <c r="A65" s="11" t="s">
        <v>237</v>
      </c>
      <c r="B65" s="17" t="s">
        <v>238</v>
      </c>
      <c r="C65" s="5" t="s">
        <v>142</v>
      </c>
      <c r="D65" s="21" t="s">
        <v>128</v>
      </c>
      <c r="E65" s="28"/>
      <c r="F65" s="11" t="s">
        <v>185</v>
      </c>
    </row>
    <row r="66" spans="1:6" ht="16" x14ac:dyDescent="0.2">
      <c r="A66" s="11" t="s">
        <v>240</v>
      </c>
      <c r="B66" s="17" t="s">
        <v>239</v>
      </c>
      <c r="C66" s="5" t="s">
        <v>143</v>
      </c>
      <c r="D66" s="21" t="s">
        <v>129</v>
      </c>
      <c r="E66" s="28"/>
      <c r="F66" s="11" t="s">
        <v>185</v>
      </c>
    </row>
    <row r="67" spans="1:6" ht="16" x14ac:dyDescent="0.2">
      <c r="A67" s="11" t="s">
        <v>242</v>
      </c>
      <c r="B67" s="17" t="s">
        <v>241</v>
      </c>
      <c r="C67" s="23" t="s">
        <v>144</v>
      </c>
      <c r="D67" s="21" t="s">
        <v>130</v>
      </c>
      <c r="E67" s="28"/>
      <c r="F67" s="11" t="s">
        <v>185</v>
      </c>
    </row>
    <row r="68" spans="1:6" ht="16" x14ac:dyDescent="0.2">
      <c r="A68" s="11" t="s">
        <v>244</v>
      </c>
      <c r="B68" s="17" t="s">
        <v>243</v>
      </c>
      <c r="C68" s="5" t="s">
        <v>145</v>
      </c>
      <c r="D68" s="21" t="s">
        <v>131</v>
      </c>
      <c r="E68" s="28"/>
      <c r="F68" s="11" t="s">
        <v>185</v>
      </c>
    </row>
    <row r="69" spans="1:6" ht="16" x14ac:dyDescent="0.2">
      <c r="A69" s="29"/>
      <c r="B69" s="17" t="s">
        <v>146</v>
      </c>
      <c r="C69" s="25" t="s">
        <v>158</v>
      </c>
      <c r="D69" s="21" t="s">
        <v>130</v>
      </c>
      <c r="E69" s="28"/>
      <c r="F69" s="11" t="s">
        <v>185</v>
      </c>
    </row>
    <row r="70" spans="1:6" ht="17" x14ac:dyDescent="0.2">
      <c r="A70" s="29"/>
      <c r="B70" s="17" t="s">
        <v>147</v>
      </c>
      <c r="C70" s="15" t="s">
        <v>148</v>
      </c>
      <c r="D70" s="21" t="s">
        <v>130</v>
      </c>
      <c r="E70" s="28"/>
      <c r="F70" s="11" t="s">
        <v>185</v>
      </c>
    </row>
    <row r="71" spans="1:6" ht="16" x14ac:dyDescent="0.2">
      <c r="A71" s="11" t="s">
        <v>173</v>
      </c>
      <c r="B71" s="22" t="s">
        <v>149</v>
      </c>
      <c r="C71" s="23" t="s">
        <v>150</v>
      </c>
      <c r="D71" s="24" t="s">
        <v>151</v>
      </c>
      <c r="E71" s="28"/>
      <c r="F71" s="11" t="s">
        <v>185</v>
      </c>
    </row>
    <row r="72" spans="1:6" ht="17" x14ac:dyDescent="0.2">
      <c r="A72" s="11" t="s">
        <v>249</v>
      </c>
      <c r="B72" s="19" t="s">
        <v>154</v>
      </c>
      <c r="C72" s="23" t="s">
        <v>155</v>
      </c>
      <c r="D72" s="6" t="s">
        <v>152</v>
      </c>
      <c r="E72" s="28"/>
      <c r="F72" s="11"/>
    </row>
    <row r="73" spans="1:6" ht="17" x14ac:dyDescent="0.2">
      <c r="A73" s="30"/>
      <c r="B73" s="19" t="s">
        <v>156</v>
      </c>
      <c r="C73" s="23" t="s">
        <v>157</v>
      </c>
      <c r="D73" s="6" t="s">
        <v>153</v>
      </c>
      <c r="E73" s="28"/>
      <c r="F73" s="11"/>
    </row>
    <row r="74" spans="1:6" ht="16" x14ac:dyDescent="0.2">
      <c r="A74" s="11" t="s">
        <v>246</v>
      </c>
      <c r="B74" s="12" t="s">
        <v>245</v>
      </c>
      <c r="C74" s="23" t="s">
        <v>177</v>
      </c>
      <c r="D74" s="11" t="s">
        <v>178</v>
      </c>
      <c r="E74" s="28">
        <v>70000</v>
      </c>
      <c r="F74" s="11" t="s">
        <v>185</v>
      </c>
    </row>
    <row r="75" spans="1:6" ht="16" x14ac:dyDescent="0.2">
      <c r="A75" s="11" t="s">
        <v>248</v>
      </c>
      <c r="B75" s="6" t="s">
        <v>247</v>
      </c>
      <c r="C75" s="5" t="s">
        <v>179</v>
      </c>
      <c r="D75" s="11" t="s">
        <v>180</v>
      </c>
      <c r="E75" s="28">
        <v>24000</v>
      </c>
      <c r="F75" s="11" t="s">
        <v>185</v>
      </c>
    </row>
    <row r="76" spans="1:6" x14ac:dyDescent="0.2">
      <c r="A76" s="11"/>
      <c r="B76" s="11"/>
      <c r="C76" s="11"/>
      <c r="D76" s="11"/>
      <c r="E76" s="28"/>
      <c r="F76" s="11"/>
    </row>
  </sheetData>
  <mergeCells count="1">
    <mergeCell ref="A4:F4"/>
  </mergeCells>
  <phoneticPr fontId="14" type="noConversion"/>
  <dataValidations count="1">
    <dataValidation type="list" allowBlank="1" showInputMessage="1" showErrorMessage="1" sqref="F6:F357" xr:uid="{B641F983-90BA-E249-90EA-AF2FCCFE5449}">
      <formula1>"PERSONA FISICA, PERSONA MORAL, CON REPSE, TALENTO"</formula1>
    </dataValidation>
  </dataValidations>
  <hyperlinks>
    <hyperlink ref="C6" r:id="rId1" xr:uid="{BDCF5BBD-CAA5-5A42-B852-FD4DE9C87D51}"/>
    <hyperlink ref="C7:C10" r:id="rId2" display="nutzz.mx@gmail.com" xr:uid="{159ADD18-D446-1746-AF9C-D6842B96E637}"/>
    <hyperlink ref="C7" r:id="rId3" xr:uid="{2F5B759C-9587-A746-8FA3-2079DDCB00D5}"/>
    <hyperlink ref="C10" r:id="rId4" xr:uid="{C4C6BBBB-B357-9D4C-9080-B0C4C5CE9570}"/>
    <hyperlink ref="C8" r:id="rId5" xr:uid="{B4B11D22-7167-CE41-86EE-EF7671F875BF}"/>
    <hyperlink ref="C9" r:id="rId6" xr:uid="{110DE54E-9110-B448-92D8-26301E7A02C9}"/>
    <hyperlink ref="C15" r:id="rId7" xr:uid="{FB49E0FC-6A75-E74A-96AF-B3896EE8F284}"/>
    <hyperlink ref="C12" r:id="rId8" xr:uid="{10B5C8D8-EAFB-AB42-AE02-0605D6202453}"/>
    <hyperlink ref="C13" r:id="rId9" xr:uid="{7CAE17FA-9624-B445-A8DA-3066DD03D625}"/>
    <hyperlink ref="C17" r:id="rId10" xr:uid="{2257C1A9-4EC0-B642-AFF7-3FCDF553C01E}"/>
    <hyperlink ref="C18" r:id="rId11" xr:uid="{5C02A21E-E2D5-F444-82AF-12174BBE81BC}"/>
    <hyperlink ref="C24" r:id="rId12" xr:uid="{8F19F640-9E08-BE4E-9F2C-A9E52F18010C}"/>
    <hyperlink ref="C21" r:id="rId13" xr:uid="{ADE1C8F5-EE24-FB45-9DE9-919B2059AB16}"/>
    <hyperlink ref="C20" r:id="rId14" xr:uid="{D9F864CB-F123-9F4D-AE49-7D2E1720B151}"/>
    <hyperlink ref="C23" r:id="rId15" xr:uid="{F23F2ED7-5366-2B40-A3C3-1F8CECE50094}"/>
    <hyperlink ref="C22" r:id="rId16" xr:uid="{F1DB4905-9430-9A4C-803E-E926F1399CDA}"/>
    <hyperlink ref="C26" r:id="rId17" xr:uid="{F7E7D312-E6E2-364C-AF34-3ABF5B7A3E71}"/>
    <hyperlink ref="C25" r:id="rId18" xr:uid="{609A3FA9-642E-DB4E-BDF4-772EE57466C2}"/>
    <hyperlink ref="C27" r:id="rId19" xr:uid="{14AC708D-9CFE-9049-8593-FE902B46B2A1}"/>
    <hyperlink ref="C28" r:id="rId20" xr:uid="{24B1ABBB-4A3E-2242-9F21-96702AAA804C}"/>
    <hyperlink ref="C30" r:id="rId21" xr:uid="{24BBA724-6C39-3D4A-8010-753E579AF85C}"/>
    <hyperlink ref="C32" r:id="rId22" xr:uid="{EA991620-E57E-9146-800A-B8DE252F74D8}"/>
    <hyperlink ref="C31" r:id="rId23" xr:uid="{A2FDBE81-CDED-BC4F-BE2E-66F270BF5536}"/>
    <hyperlink ref="C29" r:id="rId24" xr:uid="{E97A5FA8-E0EC-9D42-88FC-AE8ACBAEC2C1}"/>
    <hyperlink ref="C34" r:id="rId25" xr:uid="{D2705B17-94DC-1244-9292-436A8F472E1D}"/>
    <hyperlink ref="C33" r:id="rId26" xr:uid="{8C3948AB-AED7-064F-A3B4-93775D0C968F}"/>
    <hyperlink ref="C35" r:id="rId27" xr:uid="{6BEE9558-723C-E443-A493-729562FF58B1}"/>
    <hyperlink ref="C36" r:id="rId28" xr:uid="{A9157611-5921-7146-BBC9-D681CE221C57}"/>
    <hyperlink ref="C37" r:id="rId29" xr:uid="{E2365950-BD95-CD4D-9EFC-65E0CBAC0BBD}"/>
    <hyperlink ref="C39" r:id="rId30" xr:uid="{F0A858F0-E026-D540-96CB-6151013042E7}"/>
    <hyperlink ref="C40" r:id="rId31" xr:uid="{F7CB480B-8D2E-0F44-850D-3A9AD194D2DB}"/>
    <hyperlink ref="C41" r:id="rId32" xr:uid="{028FB776-855E-0842-9D4B-9964133668F3}"/>
    <hyperlink ref="C42" r:id="rId33" xr:uid="{5045FFC2-E3CD-444B-B35A-CE5C653A3B20}"/>
    <hyperlink ref="C43" r:id="rId34" xr:uid="{45E4298E-A4D6-444A-9FB1-231BFC4DB349}"/>
    <hyperlink ref="C45" r:id="rId35" xr:uid="{F747EDA2-6044-A44F-8FAF-7CF4A7BBE705}"/>
    <hyperlink ref="C44" r:id="rId36" xr:uid="{D3920533-D805-9E4E-994E-C0F21A23FC71}"/>
    <hyperlink ref="C47" r:id="rId37" xr:uid="{46EE0C61-9258-874E-899C-8D8854BBA036}"/>
    <hyperlink ref="C48" r:id="rId38" xr:uid="{4C93BF4A-5B99-E648-8BBD-3B94DD813F3D}"/>
    <hyperlink ref="C49" r:id="rId39" xr:uid="{C61633A7-121A-0142-9A74-0BA0BA6D6823}"/>
    <hyperlink ref="C50" r:id="rId40" xr:uid="{38A1744C-4102-4840-BF1C-0706EC7E4838}"/>
    <hyperlink ref="C51" r:id="rId41" xr:uid="{B9F6E42B-FBEB-8847-8E2B-20D11B5B7715}"/>
    <hyperlink ref="C53" r:id="rId42" xr:uid="{5192906F-699E-494D-BBE4-6638FF484330}"/>
    <hyperlink ref="C54" r:id="rId43" xr:uid="{F3191BD5-22F2-2943-859C-1AB4D7F3D5DA}"/>
    <hyperlink ref="C55" r:id="rId44" xr:uid="{17F8872B-4AF1-134D-B16D-7B0CFDEC2772}"/>
    <hyperlink ref="C56" r:id="rId45" xr:uid="{64CCA33F-91CB-0442-BBA0-6EEB8D12D46E}"/>
    <hyperlink ref="C57" r:id="rId46" xr:uid="{1331F498-8F3E-2F4D-B39B-83B7F5643784}"/>
    <hyperlink ref="C64" r:id="rId47" xr:uid="{63E4B958-915E-A34D-86F2-CB91EE71C3D6}"/>
    <hyperlink ref="C68" r:id="rId48" xr:uid="{EF09A7A6-5D6F-1240-A9D0-8122EF3E9BB9}"/>
    <hyperlink ref="C67" r:id="rId49" xr:uid="{E7ABDC0B-06BE-4341-A972-0609148AC4B4}"/>
    <hyperlink ref="C65" r:id="rId50" xr:uid="{FA8C2C91-4882-F14F-8DD2-3A5C84AA38B9}"/>
    <hyperlink ref="C66" r:id="rId51" xr:uid="{3CAB3D80-7625-A848-BF87-C627545E72D7}"/>
    <hyperlink ref="C63" r:id="rId52" xr:uid="{3AA51992-A7D4-EF4E-A7C0-F942982C5020}"/>
    <hyperlink ref="C70" r:id="rId53" xr:uid="{185C0A54-1EAE-1B46-AA7D-F260D8164A07}"/>
    <hyperlink ref="C71" r:id="rId54" xr:uid="{A8A14FC9-0585-F14E-B798-C81E1D163F35}"/>
    <hyperlink ref="C72" r:id="rId55" xr:uid="{A33E8FC5-2910-7446-9501-CEE19FB8D5C0}"/>
    <hyperlink ref="C73" r:id="rId56" xr:uid="{8999D076-FB54-DA4F-AD17-67DF241412EC}"/>
    <hyperlink ref="C69" r:id="rId57" xr:uid="{F0FEC723-E0C6-4C43-88E1-1C2B29128BC5}"/>
    <hyperlink ref="C74" r:id="rId58" xr:uid="{A2300B33-228F-844C-8B83-6EDD641496D1}"/>
    <hyperlink ref="C75" r:id="rId59" xr:uid="{D7251127-E4E6-544A-80E5-20C050C52127}"/>
    <hyperlink ref="C62" r:id="rId60" xr:uid="{05966D60-64EF-9A44-AB13-86C09C858F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Zendejas</dc:creator>
  <cp:lastModifiedBy>Pamela Romero</cp:lastModifiedBy>
  <dcterms:created xsi:type="dcterms:W3CDTF">2024-09-18T23:45:35Z</dcterms:created>
  <dcterms:modified xsi:type="dcterms:W3CDTF">2024-09-26T13:36:25Z</dcterms:modified>
</cp:coreProperties>
</file>