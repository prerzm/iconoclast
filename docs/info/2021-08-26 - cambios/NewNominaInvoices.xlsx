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086449F-D129-4976-BAB0-54D9BBD270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omina" sheetId="1" r:id="rId1"/>
  </sheets>
  <externalReferences>
    <externalReference r:id="rId2"/>
  </externalReferences>
  <definedNames>
    <definedName name="A_N_I_M_A_C_I_O_N">#REF!</definedName>
    <definedName name="AL">Nomina!#REF!</definedName>
    <definedName name="ALIM.DESGL.">#REF!</definedName>
    <definedName name="C_O_S_T_O_S__DE__P_R_O_D_U_C_C_I_O_N">#REF!</definedName>
    <definedName name="CAMBIO">[1]Break!$D$2</definedName>
    <definedName name="E_D_I_C_I_O_N___Y___A_U_D_I_O">#REF!</definedName>
    <definedName name="EXTRAS">[1]Break!$C$22</definedName>
    <definedName name="F_O_R_O___Y___E_S_C_E_N_O_G_R_A_F_I_A">#REF!</definedName>
    <definedName name="GO">Nomina!#REF!</definedName>
    <definedName name="M_A_T.___L_A_B.___Y___T_R_A_N_S_F.">#REF!</definedName>
    <definedName name="P_E_R_S_O_N_A_L___T_E_C_N_I_C_0">#REF!</definedName>
    <definedName name="P_O_S_T__P_R_O_D_U_C_C_I_O_N">#REF!</definedName>
    <definedName name="P_R_E___P_R_O_D_U_C_C_I_O_N">#REF!</definedName>
    <definedName name="_xlnm.Print_Area" localSheetId="0">Nomina!$A$13:$P$17</definedName>
    <definedName name="R_E_N_T_A___D_E___E_Q_U_I_P_O">#REF!</definedName>
    <definedName name="T_A_L_E_N_T_O___Y___G_A_S_T_O_S">#REF!</definedName>
    <definedName name="TOTAL">#REF!</definedName>
    <definedName name="U_T_I_L_E_R_I_A___Y___V_E_S_T_U_A_R_I_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31" i="1" l="1"/>
  <c r="I22" i="1"/>
  <c r="K22" i="1" s="1"/>
  <c r="G23" i="1"/>
  <c r="I21" i="1"/>
  <c r="K21" i="1" s="1"/>
  <c r="M21" i="1" s="1"/>
  <c r="I16" i="1"/>
  <c r="K16" i="1" s="1"/>
  <c r="I15" i="1"/>
  <c r="K15" i="1" s="1"/>
  <c r="I10" i="1"/>
  <c r="K10" i="1"/>
  <c r="M10" i="1"/>
  <c r="M9" i="1"/>
  <c r="K9" i="1"/>
  <c r="I9" i="1"/>
  <c r="G11" i="1"/>
  <c r="M22" i="1" l="1"/>
  <c r="O22" i="1" s="1"/>
  <c r="I11" i="1"/>
  <c r="K11" i="1"/>
  <c r="M11" i="1"/>
  <c r="I23" i="1"/>
  <c r="O9" i="1"/>
  <c r="O21" i="1"/>
  <c r="G17" i="1"/>
  <c r="O10" i="1"/>
  <c r="K23" i="1"/>
  <c r="O11" i="1" l="1"/>
  <c r="O23" i="1"/>
  <c r="K17" i="1"/>
  <c r="I17" i="1"/>
  <c r="M23" i="1"/>
</calcChain>
</file>

<file path=xl/sharedStrings.xml><?xml version="1.0" encoding="utf-8"?>
<sst xmlns="http://schemas.openxmlformats.org/spreadsheetml/2006/main" count="69" uniqueCount="43">
  <si>
    <t>PROYECTO</t>
  </si>
  <si>
    <t>DIRECTOR</t>
  </si>
  <si>
    <t>PRODUCTOR</t>
  </si>
  <si>
    <t>GTE DE PRODUCCIÓN</t>
  </si>
  <si>
    <t>PAGO RECIBO DE HONORARIOS</t>
  </si>
  <si>
    <t>NOMBRE</t>
  </si>
  <si>
    <t>CONCEPTO</t>
  </si>
  <si>
    <t>PAGO NORMAL</t>
  </si>
  <si>
    <t>RET. IVA</t>
  </si>
  <si>
    <t>RET. ISR</t>
  </si>
  <si>
    <t>SUBTOTAL</t>
  </si>
  <si>
    <t>TOTAL</t>
  </si>
  <si>
    <t>RAZÓN SOCIAL</t>
  </si>
  <si>
    <t>IVA</t>
  </si>
  <si>
    <t>PAGO NORMAL FACTURA</t>
  </si>
  <si>
    <t>TALENTO POR PAGAR</t>
  </si>
  <si>
    <t>PERSONAJE</t>
  </si>
  <si>
    <t>COMISIÓN DE AGENCIA</t>
  </si>
  <si>
    <t>SUBTOTAL 2</t>
  </si>
  <si>
    <t>AGENCIA</t>
  </si>
  <si>
    <t>RFC</t>
  </si>
  <si>
    <t xml:space="preserve">MAIL AL QUE SE NOTIFICA EL PAGO </t>
  </si>
  <si>
    <t>GERENTE DE PRODUCCIÓN</t>
  </si>
  <si>
    <t>PAGO FACTURAS AL EXTRANJERO</t>
  </si>
  <si>
    <t>NIF / CUIT / CIF / RUC</t>
  </si>
  <si>
    <t>MONEDA</t>
  </si>
  <si>
    <t>USD</t>
  </si>
  <si>
    <t>EUR</t>
  </si>
  <si>
    <t>AWS</t>
  </si>
  <si>
    <t>EC2</t>
  </si>
  <si>
    <t>Amazon Web Services Inc.</t>
  </si>
  <si>
    <t>AWS12345INC</t>
  </si>
  <si>
    <t>ramirozm@gmail.com</t>
  </si>
  <si>
    <t>Site5</t>
  </si>
  <si>
    <t>WHB</t>
  </si>
  <si>
    <t>Cloud Server</t>
  </si>
  <si>
    <t>site5 web hosting</t>
  </si>
  <si>
    <t>EU528003646</t>
  </si>
  <si>
    <t>ramirozm@hotmail.com</t>
  </si>
  <si>
    <t>Reseller-A [preisc.com.mx]</t>
  </si>
  <si>
    <t>WebHostingBuzz</t>
  </si>
  <si>
    <t>WHB15245</t>
  </si>
  <si>
    <t>ramirozm@yahoo.com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</si>
</sst>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Geneva"/>
      <family val="2"/>
    </font>
    <font>
      <sz val="8"/>
      <name val="Verdana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</cellStyleXfs>
  <cellXfs count="97">
    <xf numFmtId="0" fontId="0" fillId="0" borderId="0" xfId="0"/>
    <xf numFmtId="0" fontId="8" fillId="0" borderId="0" xfId="0" applyFont="1" applyProtection="1">
      <protection locked="0"/>
    </xf>
    <xf numFmtId="0" fontId="4" fillId="0" borderId="0" xfId="0" applyFont="1" applyProtection="1">
      <protection locked="0"/>
    </xf>
    <xf numFmtId="44" fontId="4" fillId="0" borderId="0" xfId="1" applyFont="1" applyProtection="1">
      <protection locked="0"/>
    </xf>
    <xf numFmtId="0" fontId="8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8" fillId="0" borderId="0" xfId="0" applyFont="1" applyFill="1" applyProtection="1">
      <protection locked="0"/>
    </xf>
    <xf numFmtId="0" fontId="7" fillId="0" borderId="24" xfId="5" applyFill="1" applyBorder="1" applyAlignment="1" applyProtection="1">
      <alignment horizontal="center"/>
      <protection locked="0"/>
    </xf>
    <xf numFmtId="0" fontId="5" fillId="0" borderId="27" xfId="0" applyFont="1" applyFill="1" applyBorder="1" applyAlignment="1" applyProtection="1">
      <alignment horizontal="center"/>
      <protection locked="0"/>
    </xf>
    <xf numFmtId="0" fontId="5" fillId="0" borderId="30" xfId="0" applyFont="1" applyFill="1" applyBorder="1" applyAlignment="1" applyProtection="1">
      <alignment horizontal="center"/>
      <protection locked="0"/>
    </xf>
    <xf numFmtId="0" fontId="8" fillId="0" borderId="5" xfId="1" applyNumberFormat="1" applyFont="1" applyFill="1" applyBorder="1" applyAlignment="1" applyProtection="1">
      <alignment horizontal="center"/>
      <protection locked="0"/>
    </xf>
    <xf numFmtId="0" fontId="8" fillId="0" borderId="4" xfId="0" applyFont="1" applyFill="1" applyBorder="1" applyAlignment="1" applyProtection="1">
      <alignment horizontal="center"/>
      <protection locked="0"/>
    </xf>
    <xf numFmtId="0" fontId="8" fillId="0" borderId="5" xfId="0" applyFont="1" applyFill="1" applyBorder="1" applyAlignment="1" applyProtection="1">
      <alignment horizontal="center"/>
      <protection locked="0"/>
    </xf>
    <xf numFmtId="44" fontId="8" fillId="0" borderId="5" xfId="1" applyFont="1" applyFill="1" applyBorder="1" applyAlignment="1" applyProtection="1">
      <alignment horizontal="left"/>
      <protection locked="0"/>
    </xf>
    <xf numFmtId="0" fontId="8" fillId="0" borderId="6" xfId="0" applyFont="1" applyFill="1" applyBorder="1" applyAlignment="1" applyProtection="1">
      <alignment horizontal="center"/>
      <protection locked="0"/>
    </xf>
    <xf numFmtId="0" fontId="5" fillId="0" borderId="29" xfId="0" applyFont="1" applyFill="1" applyBorder="1" applyAlignment="1" applyProtection="1">
      <alignment horizontal="center"/>
      <protection locked="0"/>
    </xf>
    <xf numFmtId="0" fontId="5" fillId="0" borderId="28" xfId="0" applyFont="1" applyFill="1" applyBorder="1" applyAlignment="1" applyProtection="1">
      <alignment horizontal="center"/>
      <protection locked="0"/>
    </xf>
    <xf numFmtId="0" fontId="8" fillId="0" borderId="14" xfId="1" applyNumberFormat="1" applyFont="1" applyFill="1" applyBorder="1" applyAlignment="1" applyProtection="1">
      <alignment horizontal="center"/>
      <protection locked="0"/>
    </xf>
    <xf numFmtId="0" fontId="4" fillId="3" borderId="11" xfId="1" applyNumberFormat="1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4" fillId="3" borderId="20" xfId="0" applyFont="1" applyFill="1" applyBorder="1" applyAlignment="1" applyProtection="1">
      <alignment horizontal="center"/>
      <protection locked="0"/>
    </xf>
    <xf numFmtId="0" fontId="8" fillId="0" borderId="13" xfId="0" applyFont="1" applyFill="1" applyBorder="1" applyAlignment="1" applyProtection="1">
      <alignment horizontal="center"/>
      <protection locked="0"/>
    </xf>
    <xf numFmtId="0" fontId="8" fillId="0" borderId="14" xfId="0" applyFont="1" applyFill="1" applyBorder="1" applyAlignment="1" applyProtection="1">
      <alignment horizontal="center"/>
      <protection locked="0"/>
    </xf>
    <xf numFmtId="44" fontId="8" fillId="0" borderId="14" xfId="0" applyNumberFormat="1" applyFont="1" applyFill="1" applyBorder="1" applyAlignment="1" applyProtection="1">
      <alignment horizontal="center"/>
      <protection locked="0"/>
    </xf>
    <xf numFmtId="44" fontId="8" fillId="0" borderId="31" xfId="0" applyNumberFormat="1" applyFont="1" applyFill="1" applyBorder="1" applyAlignment="1" applyProtection="1">
      <alignment horizontal="center"/>
      <protection locked="0"/>
    </xf>
    <xf numFmtId="44" fontId="8" fillId="0" borderId="32" xfId="0" applyNumberFormat="1" applyFont="1" applyFill="1" applyBorder="1" applyAlignment="1" applyProtection="1">
      <alignment horizontal="center"/>
      <protection locked="0"/>
    </xf>
    <xf numFmtId="0" fontId="8" fillId="0" borderId="24" xfId="0" applyFont="1" applyFill="1" applyBorder="1" applyAlignment="1" applyProtection="1">
      <alignment horizontal="center"/>
      <protection locked="0"/>
    </xf>
    <xf numFmtId="0" fontId="4" fillId="4" borderId="10" xfId="0" applyFont="1" applyFill="1" applyBorder="1" applyAlignment="1" applyProtection="1">
      <alignment horizontal="center"/>
      <protection locked="0"/>
    </xf>
    <xf numFmtId="0" fontId="4" fillId="4" borderId="11" xfId="0" applyFont="1" applyFill="1" applyBorder="1" applyAlignment="1" applyProtection="1">
      <alignment horizontal="center"/>
      <protection locked="0"/>
    </xf>
    <xf numFmtId="0" fontId="4" fillId="4" borderId="12" xfId="0" applyFont="1" applyFill="1" applyBorder="1" applyAlignment="1" applyProtection="1">
      <alignment horizontal="center"/>
      <protection locked="0"/>
    </xf>
    <xf numFmtId="44" fontId="8" fillId="0" borderId="14" xfId="1" applyFont="1" applyFill="1" applyBorder="1" applyAlignment="1" applyProtection="1">
      <alignment horizontal="left"/>
      <protection locked="0"/>
    </xf>
    <xf numFmtId="0" fontId="8" fillId="0" borderId="15" xfId="0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left"/>
      <protection locked="0"/>
    </xf>
    <xf numFmtId="0" fontId="4" fillId="3" borderId="11" xfId="0" applyFont="1" applyFill="1" applyBorder="1" applyAlignment="1" applyProtection="1">
      <alignment horizontal="left"/>
      <protection locked="0"/>
    </xf>
    <xf numFmtId="44" fontId="4" fillId="3" borderId="11" xfId="1" applyFont="1" applyFill="1" applyBorder="1" applyAlignment="1" applyProtection="1">
      <alignment horizontal="left"/>
      <protection locked="0"/>
    </xf>
    <xf numFmtId="0" fontId="9" fillId="0" borderId="24" xfId="5" applyFont="1" applyFill="1" applyBorder="1" applyAlignment="1" applyProtection="1">
      <alignment horizontal="center"/>
      <protection locked="0"/>
    </xf>
    <xf numFmtId="0" fontId="8" fillId="0" borderId="27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3" xfId="0" applyFont="1" applyBorder="1" applyAlignment="1" applyProtection="1">
      <alignment horizontal="center"/>
      <protection locked="0"/>
    </xf>
    <xf numFmtId="0" fontId="8" fillId="0" borderId="34" xfId="0" applyFont="1" applyBorder="1" applyAlignment="1" applyProtection="1">
      <alignment horizontal="center"/>
      <protection locked="0"/>
    </xf>
    <xf numFmtId="0" fontId="8" fillId="0" borderId="36" xfId="0" applyFont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28" xfId="0" applyFont="1" applyFill="1" applyBorder="1" applyAlignment="1" applyProtection="1">
      <alignment horizontal="center"/>
      <protection locked="0"/>
    </xf>
    <xf numFmtId="44" fontId="4" fillId="3" borderId="10" xfId="1" applyFont="1" applyFill="1" applyBorder="1" applyAlignment="1" applyProtection="1">
      <alignment horizontal="center"/>
      <protection locked="0"/>
    </xf>
    <xf numFmtId="44" fontId="4" fillId="3" borderId="11" xfId="1" applyFont="1" applyFill="1" applyBorder="1" applyAlignment="1" applyProtection="1">
      <alignment horizontal="center"/>
      <protection locked="0"/>
    </xf>
    <xf numFmtId="44" fontId="4" fillId="3" borderId="12" xfId="1" applyFont="1" applyFill="1" applyBorder="1" applyAlignment="1" applyProtection="1">
      <alignment horizontal="center"/>
      <protection locked="0"/>
    </xf>
    <xf numFmtId="44" fontId="4" fillId="3" borderId="10" xfId="1" applyFont="1" applyFill="1" applyBorder="1" applyAlignment="1" applyProtection="1">
      <alignment horizontal="left"/>
      <protection locked="0"/>
    </xf>
    <xf numFmtId="44" fontId="4" fillId="3" borderId="20" xfId="1" applyFont="1" applyFill="1" applyBorder="1" applyAlignment="1" applyProtection="1">
      <alignment horizontal="left"/>
      <protection locked="0"/>
    </xf>
    <xf numFmtId="0" fontId="8" fillId="0" borderId="35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4" fillId="3" borderId="16" xfId="0" applyFont="1" applyFill="1" applyBorder="1" applyAlignment="1" applyProtection="1">
      <alignment horizont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44" fontId="8" fillId="0" borderId="26" xfId="0" applyNumberFormat="1" applyFont="1" applyFill="1" applyBorder="1" applyAlignment="1" applyProtection="1">
      <alignment horizontal="center"/>
      <protection locked="0"/>
    </xf>
    <xf numFmtId="44" fontId="8" fillId="0" borderId="37" xfId="0" applyNumberFormat="1" applyFont="1" applyFill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center"/>
      <protection locked="0"/>
    </xf>
    <xf numFmtId="0" fontId="8" fillId="0" borderId="38" xfId="0" applyFont="1" applyBorder="1" applyAlignment="1" applyProtection="1">
      <alignment horizontal="center"/>
      <protection locked="0"/>
    </xf>
    <xf numFmtId="0" fontId="8" fillId="0" borderId="39" xfId="0" applyFont="1" applyBorder="1" applyAlignment="1" applyProtection="1">
      <alignment horizontal="center"/>
      <protection locked="0"/>
    </xf>
    <xf numFmtId="0" fontId="8" fillId="0" borderId="37" xfId="0" applyFont="1" applyBorder="1" applyAlignment="1" applyProtection="1">
      <alignment horizontal="center"/>
      <protection locked="0"/>
    </xf>
    <xf numFmtId="0" fontId="8" fillId="0" borderId="41" xfId="0" applyFont="1" applyFill="1" applyBorder="1" applyAlignment="1" applyProtection="1">
      <alignment horizontal="center"/>
      <protection locked="0"/>
    </xf>
    <xf numFmtId="0" fontId="8" fillId="0" borderId="42" xfId="0" applyFont="1" applyFill="1" applyBorder="1" applyAlignment="1" applyProtection="1">
      <alignment horizontal="center"/>
      <protection locked="0"/>
    </xf>
    <xf numFmtId="0" fontId="8" fillId="0" borderId="22" xfId="0" applyFont="1" applyFill="1" applyBorder="1" applyAlignment="1" applyProtection="1">
      <alignment horizontal="center"/>
      <protection locked="0"/>
    </xf>
    <xf numFmtId="0" fontId="6" fillId="0" borderId="25" xfId="0" applyFont="1" applyFill="1" applyBorder="1" applyAlignment="1" applyProtection="1">
      <alignment horizontal="center"/>
      <protection locked="0"/>
    </xf>
    <xf numFmtId="0" fontId="6" fillId="0" borderId="42" xfId="0" applyFont="1" applyFill="1" applyBorder="1" applyAlignment="1" applyProtection="1">
      <alignment horizontal="center"/>
      <protection locked="0"/>
    </xf>
    <xf numFmtId="0" fontId="6" fillId="0" borderId="43" xfId="0" applyFont="1" applyFill="1" applyBorder="1" applyAlignment="1" applyProtection="1">
      <alignment horizontal="center"/>
      <protection locked="0"/>
    </xf>
    <xf numFmtId="0" fontId="6" fillId="0" borderId="41" xfId="0" applyFont="1" applyFill="1" applyBorder="1" applyAlignment="1" applyProtection="1">
      <alignment horizontal="center"/>
      <protection locked="0"/>
    </xf>
    <xf numFmtId="0" fontId="6" fillId="0" borderId="22" xfId="0" applyFont="1" applyFill="1" applyBorder="1" applyAlignment="1" applyProtection="1">
      <alignment horizontal="center"/>
      <protection locked="0"/>
    </xf>
    <xf numFmtId="44" fontId="6" fillId="0" borderId="25" xfId="1" applyFont="1" applyFill="1" applyBorder="1" applyAlignment="1" applyProtection="1">
      <alignment horizontal="left"/>
      <protection locked="0"/>
    </xf>
    <xf numFmtId="44" fontId="6" fillId="0" borderId="22" xfId="1" applyFont="1" applyFill="1" applyBorder="1" applyAlignment="1" applyProtection="1">
      <alignment horizontal="left"/>
      <protection locked="0"/>
    </xf>
    <xf numFmtId="0" fontId="7" fillId="0" borderId="25" xfId="5" applyFill="1" applyBorder="1" applyAlignment="1" applyProtection="1">
      <alignment horizontal="center"/>
      <protection locked="0"/>
    </xf>
    <xf numFmtId="0" fontId="7" fillId="0" borderId="42" xfId="5" applyFill="1" applyBorder="1" applyAlignment="1" applyProtection="1">
      <alignment horizontal="center"/>
      <protection locked="0"/>
    </xf>
    <xf numFmtId="0" fontId="7" fillId="0" borderId="43" xfId="5" applyFill="1" applyBorder="1" applyAlignment="1" applyProtection="1">
      <alignment horizontal="center"/>
      <protection locked="0"/>
    </xf>
    <xf numFmtId="0" fontId="6" fillId="0" borderId="4" xfId="0" applyFont="1" applyFill="1" applyBorder="1" applyAlignment="1" applyProtection="1">
      <alignment horizontal="center"/>
      <protection locked="0"/>
    </xf>
    <xf numFmtId="0" fontId="6" fillId="0" borderId="5" xfId="0" applyFont="1" applyFill="1" applyBorder="1" applyAlignment="1" applyProtection="1">
      <alignment horizontal="center"/>
      <protection locked="0"/>
    </xf>
    <xf numFmtId="44" fontId="6" fillId="0" borderId="40" xfId="1" applyFont="1" applyFill="1" applyBorder="1" applyAlignment="1" applyProtection="1">
      <alignment horizontal="left"/>
      <protection locked="0"/>
    </xf>
    <xf numFmtId="44" fontId="6" fillId="0" borderId="21" xfId="1" applyFont="1" applyFill="1" applyBorder="1" applyAlignment="1" applyProtection="1">
      <alignment horizontal="left"/>
      <protection locked="0"/>
    </xf>
    <xf numFmtId="44" fontId="6" fillId="0" borderId="14" xfId="1" applyFont="1" applyFill="1" applyBorder="1" applyAlignment="1" applyProtection="1">
      <alignment horizontal="left"/>
      <protection locked="0"/>
    </xf>
    <xf numFmtId="0" fontId="6" fillId="0" borderId="14" xfId="0" applyFont="1" applyFill="1" applyBorder="1" applyAlignment="1" applyProtection="1">
      <alignment horizontal="center"/>
      <protection locked="0"/>
    </xf>
    <xf numFmtId="0" fontId="6" fillId="0" borderId="15" xfId="0" applyFont="1" applyFill="1" applyBorder="1" applyAlignment="1" applyProtection="1">
      <alignment horizontal="center"/>
      <protection locked="0"/>
    </xf>
  </cellXfs>
  <cellStyles count="6">
    <cellStyle name="Currency" xfId="1" builtinId="4"/>
    <cellStyle name="Hyperlink" xfId="5" builtinId="8"/>
    <cellStyle name="Millares 2" xfId="2" xr:uid="{00000000-0005-0000-0000-000001000000}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uscangacastillo/Dropbox/*%20PRIMO/1.%20Presupuestos%202020/20030%20Burger%20King/2.%20Bids/2.%20Bids%20Besglosados/20030.00%20Burguer%20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"/>
      <sheetName val="Desglose"/>
      <sheetName val="AICP"/>
      <sheetName val="Produccion"/>
      <sheetName val="Nomina"/>
      <sheetName val="Post"/>
      <sheetName val="AMFI"/>
      <sheetName val="AMFI Desglose"/>
      <sheetName val="Calendario"/>
      <sheetName val="Cierre"/>
    </sheetNames>
    <sheetDataSet>
      <sheetData sheetId="0">
        <row r="2">
          <cell r="D2">
            <v>22.8</v>
          </cell>
        </row>
        <row r="22">
          <cell r="C22">
            <v>4</v>
          </cell>
        </row>
      </sheetData>
      <sheetData sheetId="1"/>
      <sheetData sheetId="2"/>
      <sheetData sheetId="3">
        <row r="10">
          <cell r="G10">
            <v>0</v>
          </cell>
        </row>
      </sheetData>
      <sheetData sheetId="4"/>
      <sheetData sheetId="5"/>
      <sheetData sheetId="6">
        <row r="7">
          <cell r="J7" t="str">
            <v>PAPAS FRITAS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1"/>
  <sheetViews>
    <sheetView showGridLines="0" tabSelected="1" zoomScale="74" zoomScaleNormal="100" workbookViewId="0">
      <selection activeCell="O27" sqref="O27:R27"/>
    </sheetView>
  </sheetViews>
  <sheetFormatPr defaultColWidth="10.75" defaultRowHeight="14.25"/>
  <cols>
    <col min="1" max="1" width="10.75" style="1"/>
    <col min="2" max="2" width="12" style="1" customWidth="1"/>
    <col min="3" max="3" width="21.5" style="1" customWidth="1"/>
    <col min="4" max="5" width="10.75" style="1"/>
    <col min="6" max="6" width="14.75" style="1" customWidth="1"/>
    <col min="7" max="15" width="10.75" style="1"/>
    <col min="16" max="16" width="20.75" style="1" customWidth="1"/>
    <col min="17" max="19" width="10.75" style="1"/>
    <col min="20" max="20" width="4.25" style="1" customWidth="1"/>
    <col min="21" max="23" width="10.75" style="1"/>
    <col min="24" max="24" width="5.5" style="1" customWidth="1"/>
    <col min="25" max="26" width="15.75" style="1" customWidth="1"/>
    <col min="27" max="27" width="14.25" style="1" customWidth="1"/>
    <col min="28" max="28" width="0.75" style="1" customWidth="1"/>
    <col min="29" max="16384" width="10.75" style="1"/>
  </cols>
  <sheetData>
    <row r="1" spans="1:28" ht="15">
      <c r="A1" s="19" t="s">
        <v>0</v>
      </c>
      <c r="B1" s="20"/>
      <c r="C1" s="21" t="s">
        <v>0</v>
      </c>
      <c r="D1" s="21"/>
      <c r="E1" s="22"/>
    </row>
    <row r="2" spans="1:28" ht="15">
      <c r="A2" s="23" t="s">
        <v>1</v>
      </c>
      <c r="B2" s="24"/>
      <c r="C2" s="25" t="s">
        <v>1</v>
      </c>
      <c r="D2" s="25"/>
      <c r="E2" s="26"/>
    </row>
    <row r="3" spans="1:28" ht="15">
      <c r="A3" s="23" t="s">
        <v>2</v>
      </c>
      <c r="B3" s="24"/>
      <c r="C3" s="25" t="s">
        <v>2</v>
      </c>
      <c r="D3" s="25"/>
      <c r="E3" s="26"/>
    </row>
    <row r="4" spans="1:28" ht="15.75" thickBot="1">
      <c r="A4" s="27" t="s">
        <v>3</v>
      </c>
      <c r="B4" s="28"/>
      <c r="C4" s="29" t="s">
        <v>22</v>
      </c>
      <c r="D4" s="29"/>
      <c r="E4" s="30"/>
    </row>
    <row r="6" spans="1:28" ht="15" thickBot="1"/>
    <row r="7" spans="1:28" ht="25.15" customHeight="1" thickBot="1">
      <c r="A7" s="31" t="s">
        <v>4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</row>
    <row r="8" spans="1:28" s="2" customFormat="1" ht="15.75" thickBot="1">
      <c r="A8" s="34" t="s">
        <v>5</v>
      </c>
      <c r="B8" s="35"/>
      <c r="C8" s="36"/>
      <c r="D8" s="34" t="s">
        <v>6</v>
      </c>
      <c r="E8" s="35"/>
      <c r="F8" s="36"/>
      <c r="G8" s="34" t="s">
        <v>7</v>
      </c>
      <c r="H8" s="36"/>
      <c r="I8" s="34" t="s">
        <v>8</v>
      </c>
      <c r="J8" s="36"/>
      <c r="K8" s="34" t="s">
        <v>9</v>
      </c>
      <c r="L8" s="36"/>
      <c r="M8" s="34" t="s">
        <v>10</v>
      </c>
      <c r="N8" s="36"/>
      <c r="O8" s="34" t="s">
        <v>11</v>
      </c>
      <c r="P8" s="36"/>
      <c r="Q8" s="34" t="s">
        <v>12</v>
      </c>
      <c r="R8" s="35"/>
      <c r="S8" s="35"/>
      <c r="T8" s="37"/>
      <c r="U8" s="44" t="s">
        <v>20</v>
      </c>
      <c r="V8" s="45"/>
      <c r="W8" s="45"/>
      <c r="X8" s="46"/>
      <c r="Y8" s="44" t="s">
        <v>21</v>
      </c>
      <c r="Z8" s="45"/>
      <c r="AA8" s="45"/>
      <c r="AB8" s="46"/>
    </row>
    <row r="9" spans="1:28" s="6" customFormat="1" ht="15">
      <c r="A9" s="38"/>
      <c r="B9" s="39"/>
      <c r="C9" s="39"/>
      <c r="D9" s="39"/>
      <c r="E9" s="39"/>
      <c r="F9" s="39"/>
      <c r="G9" s="40">
        <v>0</v>
      </c>
      <c r="H9" s="40"/>
      <c r="I9" s="41">
        <f>(G9*0.16)/3*2</f>
        <v>0</v>
      </c>
      <c r="J9" s="42"/>
      <c r="K9" s="41">
        <f>G9*0.1</f>
        <v>0</v>
      </c>
      <c r="L9" s="42"/>
      <c r="M9" s="41">
        <f>G9+(G9*0.16)</f>
        <v>0</v>
      </c>
      <c r="N9" s="42"/>
      <c r="O9" s="41">
        <f>M9-I9-K9</f>
        <v>0</v>
      </c>
      <c r="P9" s="42"/>
      <c r="Q9" s="39"/>
      <c r="R9" s="39"/>
      <c r="S9" s="39"/>
      <c r="T9" s="43"/>
      <c r="U9" s="58"/>
      <c r="V9" s="53"/>
      <c r="W9" s="53"/>
      <c r="X9" s="59"/>
      <c r="Y9" s="52"/>
      <c r="Z9" s="53"/>
      <c r="AA9" s="53"/>
      <c r="AB9" s="54"/>
    </row>
    <row r="10" spans="1:28" ht="15" thickBot="1">
      <c r="A10" s="65"/>
      <c r="B10" s="56"/>
      <c r="C10" s="66"/>
      <c r="D10" s="55"/>
      <c r="E10" s="56"/>
      <c r="F10" s="66"/>
      <c r="G10" s="73"/>
      <c r="H10" s="76"/>
      <c r="I10" s="71">
        <f t="shared" ref="I10" si="0">(G10*0.16)/3*2</f>
        <v>0</v>
      </c>
      <c r="J10" s="72"/>
      <c r="K10" s="71">
        <f t="shared" ref="K10" si="1">G10*0.1</f>
        <v>0</v>
      </c>
      <c r="L10" s="72"/>
      <c r="M10" s="71">
        <f t="shared" ref="M10" si="2">G10+(G10*0.16)</f>
        <v>0</v>
      </c>
      <c r="N10" s="72"/>
      <c r="O10" s="71">
        <f t="shared" ref="O10" si="3">M10-I10-K10</f>
        <v>0</v>
      </c>
      <c r="P10" s="72"/>
      <c r="Q10" s="73"/>
      <c r="R10" s="74"/>
      <c r="S10" s="74"/>
      <c r="T10" s="75"/>
      <c r="U10" s="65"/>
      <c r="V10" s="56"/>
      <c r="W10" s="56"/>
      <c r="X10" s="66"/>
      <c r="Y10" s="55"/>
      <c r="Z10" s="56"/>
      <c r="AA10" s="56"/>
      <c r="AB10" s="57"/>
    </row>
    <row r="11" spans="1:28" s="3" customFormat="1" ht="15.75" thickBot="1">
      <c r="A11" s="63" t="s">
        <v>10</v>
      </c>
      <c r="B11" s="51"/>
      <c r="C11" s="51"/>
      <c r="D11" s="51"/>
      <c r="E11" s="51"/>
      <c r="F11" s="64"/>
      <c r="G11" s="60">
        <f>SUM(G9:H10)</f>
        <v>0</v>
      </c>
      <c r="H11" s="61"/>
      <c r="I11" s="61">
        <f>SUM(I9:J10)</f>
        <v>0</v>
      </c>
      <c r="J11" s="61"/>
      <c r="K11" s="61">
        <f>SUM(K9:L10)</f>
        <v>0</v>
      </c>
      <c r="L11" s="61"/>
      <c r="M11" s="61">
        <f>SUM(M9:N10)</f>
        <v>0</v>
      </c>
      <c r="N11" s="61"/>
      <c r="O11" s="61">
        <f>SUM(O9:P10)</f>
        <v>0</v>
      </c>
      <c r="P11" s="61"/>
      <c r="Q11" s="61"/>
      <c r="R11" s="61"/>
      <c r="S11" s="61"/>
      <c r="T11" s="62"/>
      <c r="U11" s="60"/>
      <c r="V11" s="61"/>
      <c r="W11" s="61"/>
      <c r="X11" s="62"/>
      <c r="Y11" s="61"/>
      <c r="Z11" s="61"/>
      <c r="AA11" s="61"/>
      <c r="AB11" s="62"/>
    </row>
    <row r="12" spans="1:28" ht="16.149999999999999" customHeight="1" thickBot="1"/>
    <row r="13" spans="1:28" ht="25.15" customHeight="1" thickBot="1">
      <c r="A13" s="68" t="s">
        <v>14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70"/>
      <c r="Q13" s="5"/>
      <c r="R13" s="5"/>
      <c r="S13" s="5"/>
      <c r="T13" s="5"/>
      <c r="U13" s="4"/>
    </row>
    <row r="14" spans="1:28" s="2" customFormat="1" ht="15.75" thickBot="1">
      <c r="A14" s="34" t="s">
        <v>5</v>
      </c>
      <c r="B14" s="35"/>
      <c r="C14" s="36"/>
      <c r="D14" s="34" t="s">
        <v>6</v>
      </c>
      <c r="E14" s="35"/>
      <c r="F14" s="36"/>
      <c r="G14" s="34" t="s">
        <v>7</v>
      </c>
      <c r="H14" s="36"/>
      <c r="I14" s="34" t="s">
        <v>13</v>
      </c>
      <c r="J14" s="36"/>
      <c r="K14" s="34" t="s">
        <v>10</v>
      </c>
      <c r="L14" s="36"/>
      <c r="M14" s="34" t="s">
        <v>12</v>
      </c>
      <c r="N14" s="35"/>
      <c r="O14" s="35"/>
      <c r="P14" s="36"/>
      <c r="Q14" s="44" t="s">
        <v>20</v>
      </c>
      <c r="R14" s="45"/>
      <c r="S14" s="45"/>
      <c r="T14" s="46"/>
      <c r="U14" s="44" t="s">
        <v>21</v>
      </c>
      <c r="V14" s="45"/>
      <c r="W14" s="45"/>
      <c r="X14" s="46"/>
    </row>
    <row r="15" spans="1:28" s="6" customFormat="1" ht="15.75">
      <c r="A15" s="38"/>
      <c r="B15" s="39"/>
      <c r="C15" s="39"/>
      <c r="D15" s="39"/>
      <c r="E15" s="39"/>
      <c r="F15" s="39"/>
      <c r="G15" s="47">
        <v>0</v>
      </c>
      <c r="H15" s="47"/>
      <c r="I15" s="47">
        <f t="shared" ref="I15:I16" si="4">G15*0.16</f>
        <v>0</v>
      </c>
      <c r="J15" s="47"/>
      <c r="K15" s="47">
        <f t="shared" ref="K15:K16" si="5">G15+I15</f>
        <v>0</v>
      </c>
      <c r="L15" s="47"/>
      <c r="M15" s="39"/>
      <c r="N15" s="39"/>
      <c r="O15" s="39"/>
      <c r="P15" s="48"/>
      <c r="Q15" s="15"/>
      <c r="R15" s="8"/>
      <c r="S15" s="8"/>
      <c r="T15" s="16"/>
      <c r="U15" s="7"/>
      <c r="V15" s="8"/>
      <c r="W15" s="8"/>
      <c r="X15" s="9"/>
    </row>
    <row r="16" spans="1:28" s="6" customFormat="1" ht="16.5" thickBot="1">
      <c r="A16" s="11"/>
      <c r="B16" s="12"/>
      <c r="C16" s="12"/>
      <c r="D16" s="12"/>
      <c r="E16" s="12"/>
      <c r="F16" s="12"/>
      <c r="G16" s="13">
        <v>0</v>
      </c>
      <c r="H16" s="13"/>
      <c r="I16" s="47">
        <f t="shared" si="4"/>
        <v>0</v>
      </c>
      <c r="J16" s="47"/>
      <c r="K16" s="47">
        <f t="shared" si="5"/>
        <v>0</v>
      </c>
      <c r="L16" s="47"/>
      <c r="M16" s="12"/>
      <c r="N16" s="12"/>
      <c r="O16" s="12"/>
      <c r="P16" s="14"/>
      <c r="Q16" s="15"/>
      <c r="R16" s="8"/>
      <c r="S16" s="8"/>
      <c r="T16" s="16"/>
      <c r="U16" s="7"/>
      <c r="V16" s="8"/>
      <c r="W16" s="8"/>
      <c r="X16" s="9"/>
    </row>
    <row r="17" spans="1:28" s="2" customFormat="1" ht="15.75" thickBot="1">
      <c r="A17" s="49" t="s">
        <v>10</v>
      </c>
      <c r="B17" s="50"/>
      <c r="C17" s="50"/>
      <c r="D17" s="50"/>
      <c r="E17" s="50"/>
      <c r="F17" s="50"/>
      <c r="G17" s="51">
        <f>SUM(G15:H16)</f>
        <v>0</v>
      </c>
      <c r="H17" s="51"/>
      <c r="I17" s="51">
        <f>SUM(I15:J16)</f>
        <v>0</v>
      </c>
      <c r="J17" s="51"/>
      <c r="K17" s="51">
        <f>SUM(K15:L16)</f>
        <v>0</v>
      </c>
      <c r="L17" s="51"/>
      <c r="M17" s="35"/>
      <c r="N17" s="35"/>
      <c r="O17" s="35"/>
      <c r="P17" s="36"/>
      <c r="Q17" s="35"/>
      <c r="R17" s="35"/>
      <c r="S17" s="35"/>
      <c r="T17" s="36"/>
      <c r="U17" s="35"/>
      <c r="V17" s="35"/>
      <c r="W17" s="35"/>
      <c r="X17" s="36"/>
    </row>
    <row r="18" spans="1:28" ht="15" thickBot="1"/>
    <row r="19" spans="1:28" ht="25.15" customHeight="1" thickBot="1">
      <c r="A19" s="31" t="s">
        <v>15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/>
    </row>
    <row r="20" spans="1:28" s="2" customFormat="1" ht="15.75" thickBot="1">
      <c r="A20" s="34" t="s">
        <v>5</v>
      </c>
      <c r="B20" s="35"/>
      <c r="C20" s="36"/>
      <c r="D20" s="34" t="s">
        <v>16</v>
      </c>
      <c r="E20" s="35"/>
      <c r="F20" s="36"/>
      <c r="G20" s="34" t="s">
        <v>10</v>
      </c>
      <c r="H20" s="36"/>
      <c r="I20" s="34" t="s">
        <v>17</v>
      </c>
      <c r="J20" s="36"/>
      <c r="K20" s="34" t="s">
        <v>18</v>
      </c>
      <c r="L20" s="36"/>
      <c r="M20" s="34" t="s">
        <v>13</v>
      </c>
      <c r="N20" s="36"/>
      <c r="O20" s="34" t="s">
        <v>11</v>
      </c>
      <c r="P20" s="36"/>
      <c r="Q20" s="34" t="s">
        <v>19</v>
      </c>
      <c r="R20" s="35"/>
      <c r="S20" s="35"/>
      <c r="T20" s="36"/>
      <c r="U20" s="44" t="s">
        <v>20</v>
      </c>
      <c r="V20" s="45"/>
      <c r="W20" s="45"/>
      <c r="X20" s="46"/>
      <c r="Y20" s="44" t="s">
        <v>21</v>
      </c>
      <c r="Z20" s="45"/>
      <c r="AA20" s="45"/>
      <c r="AB20" s="46"/>
    </row>
    <row r="21" spans="1:28" s="6" customFormat="1" ht="15.75">
      <c r="A21" s="90"/>
      <c r="B21" s="91"/>
      <c r="C21" s="91"/>
      <c r="D21" s="91"/>
      <c r="E21" s="91"/>
      <c r="F21" s="91"/>
      <c r="G21" s="92">
        <v>0</v>
      </c>
      <c r="H21" s="93"/>
      <c r="I21" s="94">
        <f t="shared" ref="I21:I22" si="6">G21*0.2</f>
        <v>0</v>
      </c>
      <c r="J21" s="94"/>
      <c r="K21" s="94">
        <f t="shared" ref="K21:K22" si="7">G21+I21</f>
        <v>0</v>
      </c>
      <c r="L21" s="94"/>
      <c r="M21" s="94">
        <f t="shared" ref="M21:M22" si="8">K21*0.16</f>
        <v>0</v>
      </c>
      <c r="N21" s="94"/>
      <c r="O21" s="94">
        <f t="shared" ref="O21:O22" si="9">K21+M21</f>
        <v>0</v>
      </c>
      <c r="P21" s="94"/>
      <c r="Q21" s="95"/>
      <c r="R21" s="95"/>
      <c r="S21" s="95"/>
      <c r="T21" s="96"/>
      <c r="U21" s="58"/>
      <c r="V21" s="53"/>
      <c r="W21" s="53"/>
      <c r="X21" s="59"/>
      <c r="Y21" s="7"/>
      <c r="Z21" s="53"/>
      <c r="AA21" s="53"/>
      <c r="AB21" s="54"/>
    </row>
    <row r="22" spans="1:28" s="6" customFormat="1" ht="16.5" thickBot="1">
      <c r="A22" s="83"/>
      <c r="B22" s="81"/>
      <c r="C22" s="84"/>
      <c r="D22" s="80"/>
      <c r="E22" s="81"/>
      <c r="F22" s="84"/>
      <c r="G22" s="85">
        <v>0</v>
      </c>
      <c r="H22" s="86"/>
      <c r="I22" s="85">
        <f t="shared" si="6"/>
        <v>0</v>
      </c>
      <c r="J22" s="86"/>
      <c r="K22" s="85">
        <f t="shared" si="7"/>
        <v>0</v>
      </c>
      <c r="L22" s="86"/>
      <c r="M22" s="85">
        <f t="shared" si="8"/>
        <v>0</v>
      </c>
      <c r="N22" s="86"/>
      <c r="O22" s="85">
        <f t="shared" si="9"/>
        <v>0</v>
      </c>
      <c r="P22" s="86"/>
      <c r="Q22" s="80"/>
      <c r="R22" s="81"/>
      <c r="S22" s="81"/>
      <c r="T22" s="82"/>
      <c r="U22" s="77"/>
      <c r="V22" s="78"/>
      <c r="W22" s="78"/>
      <c r="X22" s="79"/>
      <c r="Y22" s="87"/>
      <c r="Z22" s="88"/>
      <c r="AA22" s="88"/>
      <c r="AB22" s="89"/>
    </row>
    <row r="23" spans="1:28" s="2" customFormat="1" ht="15.75" thickBot="1">
      <c r="A23" s="49" t="s">
        <v>10</v>
      </c>
      <c r="B23" s="50"/>
      <c r="C23" s="50"/>
      <c r="D23" s="50"/>
      <c r="E23" s="50"/>
      <c r="F23" s="50"/>
      <c r="G23" s="51">
        <f>SUM(G21:H22)</f>
        <v>0</v>
      </c>
      <c r="H23" s="51"/>
      <c r="I23" s="51">
        <f>SUM(I21:J22)</f>
        <v>0</v>
      </c>
      <c r="J23" s="51"/>
      <c r="K23" s="51">
        <f>SUM(K21:L22)</f>
        <v>0</v>
      </c>
      <c r="L23" s="51"/>
      <c r="M23" s="51">
        <f>SUM(M21:N22)</f>
        <v>0</v>
      </c>
      <c r="N23" s="51"/>
      <c r="O23" s="51">
        <f>SUM(O21:P22)</f>
        <v>0</v>
      </c>
      <c r="P23" s="51"/>
      <c r="Q23" s="36"/>
      <c r="R23" s="67"/>
      <c r="S23" s="35"/>
      <c r="T23" s="36"/>
      <c r="U23" s="36"/>
      <c r="V23" s="67"/>
      <c r="W23" s="35"/>
      <c r="X23" s="36"/>
      <c r="Y23" s="36"/>
      <c r="Z23" s="67"/>
      <c r="AA23" s="35"/>
      <c r="AB23" s="36"/>
    </row>
    <row r="24" spans="1:28" ht="15" thickBot="1"/>
    <row r="25" spans="1:28" ht="20.45" customHeight="1" thickBot="1">
      <c r="A25" s="31" t="s">
        <v>23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Q25" s="5"/>
      <c r="R25" s="5"/>
      <c r="S25" s="5"/>
      <c r="T25" s="5"/>
      <c r="U25" s="4"/>
    </row>
    <row r="26" spans="1:28" ht="15.75" thickBot="1">
      <c r="A26" s="34" t="s">
        <v>5</v>
      </c>
      <c r="B26" s="35"/>
      <c r="C26" s="36"/>
      <c r="D26" s="34" t="s">
        <v>6</v>
      </c>
      <c r="E26" s="35"/>
      <c r="F26" s="36"/>
      <c r="G26" s="34" t="s">
        <v>11</v>
      </c>
      <c r="H26" s="36"/>
      <c r="I26" s="34" t="s">
        <v>25</v>
      </c>
      <c r="J26" s="36"/>
      <c r="K26" s="34" t="s">
        <v>12</v>
      </c>
      <c r="L26" s="35"/>
      <c r="M26" s="35"/>
      <c r="N26" s="36"/>
      <c r="O26" s="44" t="s">
        <v>24</v>
      </c>
      <c r="P26" s="45"/>
      <c r="Q26" s="45"/>
      <c r="R26" s="46"/>
      <c r="S26" s="44" t="s">
        <v>21</v>
      </c>
      <c r="T26" s="45"/>
      <c r="U26" s="45"/>
      <c r="V26" s="46"/>
    </row>
    <row r="27" spans="1:28" ht="15.75">
      <c r="A27" s="38" t="s">
        <v>28</v>
      </c>
      <c r="B27" s="39"/>
      <c r="C27" s="39"/>
      <c r="D27" s="39" t="s">
        <v>29</v>
      </c>
      <c r="E27" s="39"/>
      <c r="F27" s="39"/>
      <c r="G27" s="47">
        <v>853</v>
      </c>
      <c r="H27" s="47"/>
      <c r="I27" s="17" t="s">
        <v>26</v>
      </c>
      <c r="J27" s="17"/>
      <c r="K27" s="39" t="s">
        <v>30</v>
      </c>
      <c r="L27" s="39"/>
      <c r="M27" s="39"/>
      <c r="N27" s="48"/>
      <c r="O27" s="15" t="s">
        <v>31</v>
      </c>
      <c r="P27" s="8"/>
      <c r="Q27" s="8"/>
      <c r="R27" s="16"/>
      <c r="S27" s="7" t="s">
        <v>32</v>
      </c>
      <c r="T27" s="8"/>
      <c r="U27" s="8"/>
      <c r="V27" s="9"/>
    </row>
    <row r="28" spans="1:28" ht="15.75">
      <c r="A28" s="11" t="s">
        <v>33</v>
      </c>
      <c r="B28" s="12"/>
      <c r="C28" s="12"/>
      <c r="D28" s="12" t="s">
        <v>35</v>
      </c>
      <c r="E28" s="12"/>
      <c r="F28" s="12"/>
      <c r="G28" s="13">
        <v>1248</v>
      </c>
      <c r="H28" s="13"/>
      <c r="I28" s="10" t="s">
        <v>26</v>
      </c>
      <c r="J28" s="10"/>
      <c r="K28" s="12" t="s">
        <v>36</v>
      </c>
      <c r="L28" s="12"/>
      <c r="M28" s="12"/>
      <c r="N28" s="14"/>
      <c r="O28" s="15" t="s">
        <v>37</v>
      </c>
      <c r="P28" s="8"/>
      <c r="Q28" s="8"/>
      <c r="R28" s="16"/>
      <c r="S28" s="7" t="s">
        <v>38</v>
      </c>
      <c r="T28" s="8"/>
      <c r="U28" s="8"/>
      <c r="V28" s="9"/>
    </row>
    <row r="29" spans="1:28" ht="15.75">
      <c r="A29" s="11" t="s">
        <v>34</v>
      </c>
      <c r="B29" s="12"/>
      <c r="C29" s="12"/>
      <c r="D29" s="12" t="s">
        <v>39</v>
      </c>
      <c r="E29" s="12"/>
      <c r="F29" s="12"/>
      <c r="G29" s="13">
        <v>584</v>
      </c>
      <c r="H29" s="13"/>
      <c r="I29" s="10" t="s">
        <v>27</v>
      </c>
      <c r="J29" s="10"/>
      <c r="K29" s="12" t="s">
        <v>40</v>
      </c>
      <c r="L29" s="12"/>
      <c r="M29" s="12"/>
      <c r="N29" s="14"/>
      <c r="O29" s="15" t="s">
        <v>41</v>
      </c>
      <c r="P29" s="8"/>
      <c r="Q29" s="8"/>
      <c r="R29" s="16"/>
      <c r="S29" s="7" t="s">
        <v>42</v>
      </c>
      <c r="T29" s="8"/>
      <c r="U29" s="8"/>
      <c r="V29" s="9"/>
    </row>
    <row r="30" spans="1:28" ht="16.5" thickBot="1">
      <c r="A30" s="11"/>
      <c r="B30" s="12"/>
      <c r="C30" s="12"/>
      <c r="D30" s="12"/>
      <c r="E30" s="12"/>
      <c r="F30" s="12"/>
      <c r="G30" s="13"/>
      <c r="H30" s="13"/>
      <c r="I30" s="10"/>
      <c r="J30" s="10"/>
      <c r="K30" s="12"/>
      <c r="L30" s="12"/>
      <c r="M30" s="12"/>
      <c r="N30" s="14"/>
      <c r="O30" s="15"/>
      <c r="P30" s="8"/>
      <c r="Q30" s="8"/>
      <c r="R30" s="16"/>
      <c r="S30" s="7"/>
      <c r="T30" s="8"/>
      <c r="U30" s="8"/>
      <c r="V30" s="9"/>
    </row>
    <row r="31" spans="1:28" ht="15.75" thickBot="1">
      <c r="A31" s="49" t="s">
        <v>10</v>
      </c>
      <c r="B31" s="50"/>
      <c r="C31" s="50"/>
      <c r="D31" s="50"/>
      <c r="E31" s="50"/>
      <c r="F31" s="50"/>
      <c r="G31" s="51">
        <f>SUM(G27:H30)</f>
        <v>2685</v>
      </c>
      <c r="H31" s="51"/>
      <c r="I31" s="18"/>
      <c r="J31" s="18"/>
      <c r="K31" s="35"/>
      <c r="L31" s="35"/>
      <c r="M31" s="35"/>
      <c r="N31" s="36"/>
      <c r="O31" s="35"/>
      <c r="P31" s="35"/>
      <c r="Q31" s="35"/>
      <c r="R31" s="36"/>
      <c r="S31" s="35"/>
      <c r="T31" s="35"/>
      <c r="U31" s="35"/>
      <c r="V31" s="36"/>
    </row>
  </sheetData>
  <mergeCells count="162">
    <mergeCell ref="Y23:AB23"/>
    <mergeCell ref="U20:X20"/>
    <mergeCell ref="Y20:AB20"/>
    <mergeCell ref="Y21:AB21"/>
    <mergeCell ref="K30:N30"/>
    <mergeCell ref="K31:N31"/>
    <mergeCell ref="A22:C22"/>
    <mergeCell ref="D22:F22"/>
    <mergeCell ref="G22:H22"/>
    <mergeCell ref="I22:J22"/>
    <mergeCell ref="K22:L22"/>
    <mergeCell ref="M22:N22"/>
    <mergeCell ref="O22:P22"/>
    <mergeCell ref="Y22:AB22"/>
    <mergeCell ref="A21:C21"/>
    <mergeCell ref="D21:F21"/>
    <mergeCell ref="G21:H21"/>
    <mergeCell ref="I21:J21"/>
    <mergeCell ref="K21:L21"/>
    <mergeCell ref="M21:N21"/>
    <mergeCell ref="O21:P21"/>
    <mergeCell ref="Q21:T21"/>
    <mergeCell ref="U21:X21"/>
    <mergeCell ref="K27:N27"/>
    <mergeCell ref="S31:V31"/>
    <mergeCell ref="Q17:T17"/>
    <mergeCell ref="U17:X17"/>
    <mergeCell ref="O31:R31"/>
    <mergeCell ref="Q22:T22"/>
    <mergeCell ref="U23:X23"/>
    <mergeCell ref="A27:C27"/>
    <mergeCell ref="D27:F27"/>
    <mergeCell ref="G27:H27"/>
    <mergeCell ref="A26:C26"/>
    <mergeCell ref="D26:F26"/>
    <mergeCell ref="G26:H26"/>
    <mergeCell ref="G31:H31"/>
    <mergeCell ref="A30:C30"/>
    <mergeCell ref="D30:F30"/>
    <mergeCell ref="G30:H30"/>
    <mergeCell ref="A31:F31"/>
    <mergeCell ref="I10:J10"/>
    <mergeCell ref="K10:L10"/>
    <mergeCell ref="M10:N10"/>
    <mergeCell ref="S26:V26"/>
    <mergeCell ref="O27:R27"/>
    <mergeCell ref="S27:V27"/>
    <mergeCell ref="U22:X22"/>
    <mergeCell ref="O30:R30"/>
    <mergeCell ref="S30:V30"/>
    <mergeCell ref="I23:J23"/>
    <mergeCell ref="K23:L23"/>
    <mergeCell ref="M23:N23"/>
    <mergeCell ref="O23:P23"/>
    <mergeCell ref="Q23:T23"/>
    <mergeCell ref="O20:P20"/>
    <mergeCell ref="Q20:T20"/>
    <mergeCell ref="A20:C20"/>
    <mergeCell ref="D20:F20"/>
    <mergeCell ref="G20:H20"/>
    <mergeCell ref="I20:J20"/>
    <mergeCell ref="K20:L20"/>
    <mergeCell ref="M20:N20"/>
    <mergeCell ref="A11:F11"/>
    <mergeCell ref="G11:H11"/>
    <mergeCell ref="I11:J11"/>
    <mergeCell ref="K11:L11"/>
    <mergeCell ref="Q15:T15"/>
    <mergeCell ref="U15:X15"/>
    <mergeCell ref="Q16:T16"/>
    <mergeCell ref="U16:X16"/>
    <mergeCell ref="U10:X10"/>
    <mergeCell ref="A13:P13"/>
    <mergeCell ref="A14:C14"/>
    <mergeCell ref="D14:F14"/>
    <mergeCell ref="G14:H14"/>
    <mergeCell ref="I14:J14"/>
    <mergeCell ref="K14:L14"/>
    <mergeCell ref="M14:P14"/>
    <mergeCell ref="M11:N11"/>
    <mergeCell ref="O11:P11"/>
    <mergeCell ref="Q11:T11"/>
    <mergeCell ref="O10:P10"/>
    <mergeCell ref="Q10:T10"/>
    <mergeCell ref="A10:C10"/>
    <mergeCell ref="D10:F10"/>
    <mergeCell ref="G10:H10"/>
    <mergeCell ref="Y9:AB9"/>
    <mergeCell ref="Y10:AB10"/>
    <mergeCell ref="U8:X8"/>
    <mergeCell ref="Y8:AB8"/>
    <mergeCell ref="U9:X9"/>
    <mergeCell ref="Q14:T14"/>
    <mergeCell ref="U14:X14"/>
    <mergeCell ref="U11:X11"/>
    <mergeCell ref="Y11:AB11"/>
    <mergeCell ref="O26:R26"/>
    <mergeCell ref="K26:N26"/>
    <mergeCell ref="A16:C16"/>
    <mergeCell ref="D16:F16"/>
    <mergeCell ref="G16:H16"/>
    <mergeCell ref="I16:J16"/>
    <mergeCell ref="K16:L16"/>
    <mergeCell ref="M16:P16"/>
    <mergeCell ref="A15:C15"/>
    <mergeCell ref="D15:F15"/>
    <mergeCell ref="G15:H15"/>
    <mergeCell ref="I15:J15"/>
    <mergeCell ref="K15:L15"/>
    <mergeCell ref="M15:P15"/>
    <mergeCell ref="I26:J26"/>
    <mergeCell ref="A25:N25"/>
    <mergeCell ref="A17:F17"/>
    <mergeCell ref="G17:H17"/>
    <mergeCell ref="I17:J17"/>
    <mergeCell ref="K17:L17"/>
    <mergeCell ref="M17:P17"/>
    <mergeCell ref="A19:T19"/>
    <mergeCell ref="A23:F23"/>
    <mergeCell ref="G23:H23"/>
    <mergeCell ref="Q8:T8"/>
    <mergeCell ref="A9:C9"/>
    <mergeCell ref="D9:F9"/>
    <mergeCell ref="G9:H9"/>
    <mergeCell ref="I9:J9"/>
    <mergeCell ref="K9:L9"/>
    <mergeCell ref="M9:N9"/>
    <mergeCell ref="O9:P9"/>
    <mergeCell ref="Q9:T9"/>
    <mergeCell ref="I30:J30"/>
    <mergeCell ref="I31:J31"/>
    <mergeCell ref="A29:C29"/>
    <mergeCell ref="D29:F29"/>
    <mergeCell ref="G29:H29"/>
    <mergeCell ref="I29:J29"/>
    <mergeCell ref="K29:N29"/>
    <mergeCell ref="O29:R29"/>
    <mergeCell ref="A1:B1"/>
    <mergeCell ref="C1:E1"/>
    <mergeCell ref="A2:B2"/>
    <mergeCell ref="C2:E2"/>
    <mergeCell ref="A3:B3"/>
    <mergeCell ref="C3:E3"/>
    <mergeCell ref="A4:B4"/>
    <mergeCell ref="C4:E4"/>
    <mergeCell ref="A7:T7"/>
    <mergeCell ref="A8:C8"/>
    <mergeCell ref="D8:F8"/>
    <mergeCell ref="G8:H8"/>
    <mergeCell ref="I8:J8"/>
    <mergeCell ref="K8:L8"/>
    <mergeCell ref="M8:N8"/>
    <mergeCell ref="O8:P8"/>
    <mergeCell ref="S29:V29"/>
    <mergeCell ref="I28:J28"/>
    <mergeCell ref="A28:C28"/>
    <mergeCell ref="D28:F28"/>
    <mergeCell ref="G28:H28"/>
    <mergeCell ref="K28:N28"/>
    <mergeCell ref="O28:R28"/>
    <mergeCell ref="S28:V28"/>
    <mergeCell ref="I27:J27"/>
  </mergeCells>
  <phoneticPr fontId="3" type="noConversion"/>
  <pageMargins left="0.7" right="0.7" top="0.75" bottom="0.75" header="0.3" footer="0.3"/>
  <pageSetup scale="42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Nomina</vt:lpstr>
      <vt:lpstr>Nomina!Print_Area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Uscanga Castillo</dc:creator>
  <cp:lastModifiedBy>Ramiro Zendejas</cp:lastModifiedBy>
  <cp:lastPrinted>2021-04-30T16:18:01Z</cp:lastPrinted>
  <dcterms:created xsi:type="dcterms:W3CDTF">2020-07-02T00:12:23Z</dcterms:created>
  <dcterms:modified xsi:type="dcterms:W3CDTF">2021-08-27T06:58:37Z</dcterms:modified>
</cp:coreProperties>
</file>