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ramir\Downloads\2024-10-03 - contratos\"/>
    </mc:Choice>
  </mc:AlternateContent>
  <xr:revisionPtr revIDLastSave="0" documentId="13_ncr:1_{552CD0EE-0617-40E3-BDF3-AB5E80C24D4F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Nomina" sheetId="1" r:id="rId1"/>
  </sheets>
  <externalReferences>
    <externalReference r:id="rId2"/>
  </externalReferences>
  <definedNames>
    <definedName name="A_N_I_M_A_C_I_O_N">#REF!</definedName>
    <definedName name="AL">Nomina!#REF!</definedName>
    <definedName name="ALIM.DESGL.">#REF!</definedName>
    <definedName name="C_O_S_T_O_S__DE__P_R_O_D_U_C_C_I_O_N">#REF!</definedName>
    <definedName name="CAMBIO">[1]Break!$D$2</definedName>
    <definedName name="E_D_I_C_I_O_N___Y___A_U_D_I_O">#REF!</definedName>
    <definedName name="EXTRAS">[1]Break!$C$22</definedName>
    <definedName name="F_O_R_O___Y___E_S_C_E_N_O_G_R_A_F_I_A">#REF!</definedName>
    <definedName name="GO">Nomina!#REF!</definedName>
    <definedName name="M_A_T.___L_A_B.___Y___T_R_A_N_S_F.">#REF!</definedName>
    <definedName name="P_E_R_S_O_N_A_L___T_E_C_N_I_C_0">#REF!</definedName>
    <definedName name="P_O_S_T__P_R_O_D_U_C_C_I_O_N">#REF!</definedName>
    <definedName name="P_R_E___P_R_O_D_U_C_C_I_O_N">#REF!</definedName>
    <definedName name="_xlnm.Print_Area" localSheetId="0">Nomina!$A$7:$P$10</definedName>
    <definedName name="R_E_N_T_A___D_E___E_Q_U_I_P_O">#REF!</definedName>
    <definedName name="T_A_L_E_N_T_O___Y___G_A_S_T_O_S">#REF!</definedName>
    <definedName name="TOTAL">#REF!</definedName>
    <definedName name="U_T_I_L_E_R_I_A___Y___V_E_S_T_U_A_R_I_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1" l="1"/>
  <c r="I9" i="1"/>
  <c r="K9" i="1" s="1"/>
  <c r="K10" i="1" l="1"/>
  <c r="I10" i="1"/>
</calcChain>
</file>

<file path=xl/sharedStrings.xml><?xml version="1.0" encoding="utf-8"?>
<sst xmlns="http://schemas.openxmlformats.org/spreadsheetml/2006/main" count="23" uniqueCount="22">
  <si>
    <t>PROYECTO</t>
  </si>
  <si>
    <t>DIRECTOR</t>
  </si>
  <si>
    <t>PRODUCTOR</t>
  </si>
  <si>
    <t>GTE DE PRODUCCIÓN</t>
  </si>
  <si>
    <t>NOMBRE</t>
  </si>
  <si>
    <t>CONCEPTO</t>
  </si>
  <si>
    <t>PAGO NORMAL</t>
  </si>
  <si>
    <t>SUBTOTAL</t>
  </si>
  <si>
    <t>RAZÓN SOCIAL</t>
  </si>
  <si>
    <t>IVA</t>
  </si>
  <si>
    <t>PAGO NORMAL FACTURA</t>
  </si>
  <si>
    <t>RFC</t>
  </si>
  <si>
    <t xml:space="preserve">MAIL AL QUE SE NOTIFICA EL PAGO </t>
  </si>
  <si>
    <t>JUAN POCLAVA</t>
  </si>
  <si>
    <t>DANIELA BALCAZAR</t>
  </si>
  <si>
    <t xml:space="preserve">ODEILLE MONDRAGÓN </t>
  </si>
  <si>
    <t>GASTOS PRIMO</t>
  </si>
  <si>
    <t>PRE</t>
  </si>
  <si>
    <t>PROPERTY RISK ENGINEERING</t>
  </si>
  <si>
    <t>PRE020418F28</t>
  </si>
  <si>
    <t>rzendejas@preisc.com</t>
  </si>
  <si>
    <t>Adaptaciones Plataforma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</si>
</sst>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-&quot;$&quot;#,##0.00"/>
    <numFmt numFmtId="165" formatCode="_-&quot;$&quot;* #,##0.00_-;\-&quot;$&quot;* #,##0.00_-;_-&quot;$&quot;* &quot;-&quot;??_-;_-@_-"/>
  </numFmts>
  <fonts count="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Geneva"/>
      <family val="2"/>
    </font>
    <font>
      <sz val="8"/>
      <name val="Verdana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6" fillId="0" borderId="0" applyNumberFormat="0" applyFill="0" applyBorder="0" applyAlignment="0" applyProtection="0"/>
  </cellStyleXfs>
  <cellXfs count="38">
    <xf numFmtId="0" fontId="0" fillId="0" borderId="0" xfId="0"/>
    <xf numFmtId="0" fontId="7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4" fillId="0" borderId="0" xfId="0" applyFont="1" applyAlignment="1" applyProtection="1">
      <alignment vertical="center"/>
      <protection locked="0"/>
    </xf>
    <xf numFmtId="0" fontId="4" fillId="4" borderId="10" xfId="0" applyFont="1" applyFill="1" applyBorder="1" applyAlignment="1" applyProtection="1">
      <alignment horizontal="center"/>
      <protection locked="0"/>
    </xf>
    <xf numFmtId="0" fontId="4" fillId="4" borderId="11" xfId="0" applyFont="1" applyFill="1" applyBorder="1" applyAlignment="1" applyProtection="1">
      <alignment horizontal="center"/>
      <protection locked="0"/>
    </xf>
    <xf numFmtId="0" fontId="4" fillId="4" borderId="12" xfId="0" applyFont="1" applyFill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0" fontId="6" fillId="0" borderId="5" xfId="5" applyFill="1" applyBorder="1" applyAlignment="1" applyProtection="1">
      <alignment horizontal="center"/>
      <protection locked="0"/>
    </xf>
    <xf numFmtId="0" fontId="5" fillId="0" borderId="5" xfId="0" applyFont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4" fillId="2" borderId="15" xfId="0" applyFont="1" applyFill="1" applyBorder="1" applyAlignment="1" applyProtection="1">
      <alignment horizontal="center" vertical="center"/>
      <protection locked="0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18" xfId="0" applyFont="1" applyFill="1" applyBorder="1" applyAlignment="1" applyProtection="1">
      <alignment horizontal="center" vertical="center"/>
      <protection locked="0"/>
    </xf>
    <xf numFmtId="0" fontId="4" fillId="2" borderId="19" xfId="0" applyFont="1" applyFill="1" applyBorder="1" applyAlignment="1" applyProtection="1">
      <alignment horizontal="center" vertical="center"/>
      <protection locked="0"/>
    </xf>
    <xf numFmtId="0" fontId="4" fillId="3" borderId="10" xfId="0" applyFont="1" applyFill="1" applyBorder="1" applyAlignment="1" applyProtection="1">
      <alignment horizontal="center"/>
      <protection locked="0"/>
    </xf>
    <xf numFmtId="0" fontId="4" fillId="3" borderId="11" xfId="0" applyFont="1" applyFill="1" applyBorder="1" applyAlignment="1" applyProtection="1">
      <alignment horizontal="center"/>
      <protection locked="0"/>
    </xf>
    <xf numFmtId="0" fontId="4" fillId="3" borderId="12" xfId="0" applyFont="1" applyFill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2" xfId="0" applyFont="1" applyBorder="1" applyAlignment="1" applyProtection="1">
      <alignment horizontal="center"/>
      <protection locked="0"/>
    </xf>
    <xf numFmtId="0" fontId="7" fillId="0" borderId="2" xfId="0" applyFont="1" applyBorder="1" applyAlignment="1" applyProtection="1">
      <alignment horizontal="center"/>
      <protection locked="0"/>
    </xf>
    <xf numFmtId="0" fontId="7" fillId="0" borderId="3" xfId="0" applyFont="1" applyBorder="1" applyAlignment="1" applyProtection="1">
      <alignment horizontal="center"/>
      <protection locked="0"/>
    </xf>
    <xf numFmtId="0" fontId="4" fillId="0" borderId="4" xfId="0" applyFont="1" applyBorder="1" applyAlignment="1" applyProtection="1">
      <alignment horizontal="center"/>
      <protection locked="0"/>
    </xf>
    <xf numFmtId="0" fontId="4" fillId="0" borderId="5" xfId="0" applyFont="1" applyBorder="1" applyAlignment="1" applyProtection="1">
      <alignment horizontal="center"/>
      <protection locked="0"/>
    </xf>
    <xf numFmtId="0" fontId="7" fillId="0" borderId="5" xfId="0" applyFont="1" applyBorder="1" applyAlignment="1" applyProtection="1">
      <alignment horizontal="center"/>
      <protection locked="0"/>
    </xf>
    <xf numFmtId="0" fontId="7" fillId="0" borderId="6" xfId="0" applyFont="1" applyBorder="1" applyAlignment="1" applyProtection="1">
      <alignment horizontal="center"/>
      <protection locked="0"/>
    </xf>
    <xf numFmtId="0" fontId="4" fillId="0" borderId="7" xfId="0" applyFont="1" applyBorder="1" applyAlignment="1" applyProtection="1">
      <alignment horizontal="center"/>
      <protection locked="0"/>
    </xf>
    <xf numFmtId="0" fontId="4" fillId="0" borderId="8" xfId="0" applyFont="1" applyBorder="1" applyAlignment="1" applyProtection="1">
      <alignment horizontal="center"/>
      <protection locked="0"/>
    </xf>
    <xf numFmtId="0" fontId="7" fillId="0" borderId="8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4" fillId="3" borderId="17" xfId="0" applyFont="1" applyFill="1" applyBorder="1" applyAlignment="1" applyProtection="1">
      <alignment horizontal="center"/>
      <protection locked="0"/>
    </xf>
    <xf numFmtId="0" fontId="4" fillId="3" borderId="8" xfId="0" applyFont="1" applyFill="1" applyBorder="1" applyAlignment="1" applyProtection="1">
      <alignment horizontal="center"/>
      <protection locked="0"/>
    </xf>
    <xf numFmtId="0" fontId="4" fillId="3" borderId="9" xfId="0" applyFont="1" applyFill="1" applyBorder="1" applyAlignment="1" applyProtection="1">
      <alignment horizontal="center"/>
      <protection locked="0"/>
    </xf>
    <xf numFmtId="165" fontId="7" fillId="0" borderId="13" xfId="1" applyFont="1" applyFill="1" applyBorder="1" applyAlignment="1" applyProtection="1">
      <alignment horizontal="left"/>
      <protection locked="0"/>
    </xf>
    <xf numFmtId="165" fontId="4" fillId="3" borderId="11" xfId="1" applyFont="1" applyFill="1" applyBorder="1" applyAlignment="1" applyProtection="1">
      <alignment horizontal="left"/>
      <protection locked="0"/>
    </xf>
    <xf numFmtId="0" fontId="4" fillId="3" borderId="15" xfId="0" applyFont="1" applyFill="1" applyBorder="1" applyAlignment="1" applyProtection="1">
      <alignment horizontal="left"/>
      <protection locked="0"/>
    </xf>
    <xf numFmtId="0" fontId="4" fillId="3" borderId="16" xfId="0" applyFont="1" applyFill="1" applyBorder="1" applyAlignment="1" applyProtection="1">
      <alignment horizontal="left"/>
      <protection locked="0"/>
    </xf>
    <xf numFmtId="0" fontId="4" fillId="3" borderId="14" xfId="0" applyFont="1" applyFill="1" applyBorder="1" applyAlignment="1" applyProtection="1">
      <alignment horizontal="left"/>
      <protection locked="0"/>
    </xf>
  </cellXfs>
  <cellStyles count="6">
    <cellStyle name="Currency" xfId="1" builtinId="4"/>
    <cellStyle name="Hyperlink" xfId="5" builtinId="8"/>
    <cellStyle name="Millares 2" xfId="2" xr:uid="{00000000-0005-0000-0000-000001000000}"/>
    <cellStyle name="Moneda 2" xfId="3" xr:uid="{00000000-0005-0000-0000-000002000000}"/>
    <cellStyle name="Normal" xfId="0" builtinId="0"/>
    <cellStyle name="Normal 2" xfId="4" xr:uid="{00000000-0005-0000-0000-00000400000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omaruscangacastillo\Dropbox\*%20PRIMO\1.%20Presupuestos%202020\20030%20Burger%20King\2.%20Bids\2.%20Bids%20Besglosados\20030.00%20Burguer%20K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ak"/>
      <sheetName val="Desglose"/>
      <sheetName val="AICP"/>
      <sheetName val="Produccion"/>
      <sheetName val="Nomina"/>
      <sheetName val="Post"/>
      <sheetName val="AMFI"/>
      <sheetName val="AMFI Desglose"/>
      <sheetName val="Calendario"/>
      <sheetName val="Cierre"/>
    </sheetNames>
    <sheetDataSet>
      <sheetData sheetId="0">
        <row r="2">
          <cell r="D2">
            <v>22.8</v>
          </cell>
        </row>
        <row r="22">
          <cell r="C22">
            <v>4</v>
          </cell>
        </row>
      </sheetData>
      <sheetData sheetId="1"/>
      <sheetData sheetId="2"/>
      <sheetData sheetId="3">
        <row r="10">
          <cell r="G10">
            <v>0</v>
          </cell>
        </row>
      </sheetData>
      <sheetData sheetId="4"/>
      <sheetData sheetId="5"/>
      <sheetData sheetId="6">
        <row r="7">
          <cell r="J7" t="str">
            <v>PAPAS FRITAS</v>
          </cell>
        </row>
      </sheetData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zendejas@preis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10"/>
  <sheetViews>
    <sheetView showGridLines="0" tabSelected="1" zoomScale="90" zoomScaleNormal="90" workbookViewId="0">
      <selection sqref="A1:B1"/>
    </sheetView>
  </sheetViews>
  <sheetFormatPr defaultColWidth="10.875" defaultRowHeight="14.25"/>
  <cols>
    <col min="1" max="1" width="10.875" style="1"/>
    <col min="2" max="2" width="12" style="1" customWidth="1"/>
    <col min="3" max="3" width="21.5" style="1" customWidth="1"/>
    <col min="4" max="5" width="10.875" style="1"/>
    <col min="6" max="6" width="14.625" style="1" customWidth="1"/>
    <col min="7" max="8" width="7.875" style="1" customWidth="1"/>
    <col min="9" max="10" width="8.625" style="1" customWidth="1"/>
    <col min="11" max="11" width="8.25" style="1" customWidth="1"/>
    <col min="12" max="12" width="10.125" style="1" customWidth="1"/>
    <col min="13" max="13" width="6.25" style="1" customWidth="1"/>
    <col min="14" max="14" width="6.375" style="1" customWidth="1"/>
    <col min="15" max="15" width="10.125" style="1" customWidth="1"/>
    <col min="16" max="16" width="10.25" style="1" customWidth="1"/>
    <col min="17" max="17" width="7.125" style="1" customWidth="1"/>
    <col min="18" max="18" width="6.25" style="1" customWidth="1"/>
    <col min="19" max="19" width="6.125" style="1" customWidth="1"/>
    <col min="20" max="20" width="4.125" style="1" customWidth="1"/>
    <col min="21" max="21" width="7.125" style="1" customWidth="1"/>
    <col min="22" max="22" width="7.875" style="1" customWidth="1"/>
    <col min="23" max="23" width="7.125" style="1" customWidth="1"/>
    <col min="24" max="24" width="5.5" style="1" customWidth="1"/>
    <col min="25" max="26" width="15.625" style="1" customWidth="1"/>
    <col min="27" max="27" width="14.375" style="1" customWidth="1"/>
    <col min="28" max="28" width="0.625" style="1" customWidth="1"/>
    <col min="29" max="16384" width="10.875" style="1"/>
  </cols>
  <sheetData>
    <row r="1" spans="1:24" ht="15">
      <c r="A1" s="18" t="s">
        <v>0</v>
      </c>
      <c r="B1" s="19"/>
      <c r="C1" s="20" t="s">
        <v>16</v>
      </c>
      <c r="D1" s="20"/>
      <c r="E1" s="21"/>
    </row>
    <row r="2" spans="1:24" ht="15">
      <c r="A2" s="22" t="s">
        <v>1</v>
      </c>
      <c r="B2" s="23"/>
      <c r="C2" s="24" t="s">
        <v>13</v>
      </c>
      <c r="D2" s="24"/>
      <c r="E2" s="25"/>
    </row>
    <row r="3" spans="1:24" ht="15">
      <c r="A3" s="22" t="s">
        <v>2</v>
      </c>
      <c r="B3" s="23"/>
      <c r="C3" s="24" t="s">
        <v>15</v>
      </c>
      <c r="D3" s="24"/>
      <c r="E3" s="25"/>
    </row>
    <row r="4" spans="1:24" ht="15.75" thickBot="1">
      <c r="A4" s="26" t="s">
        <v>3</v>
      </c>
      <c r="B4" s="27"/>
      <c r="C4" s="28" t="s">
        <v>14</v>
      </c>
      <c r="D4" s="28"/>
      <c r="E4" s="29"/>
    </row>
    <row r="6" spans="1:24" ht="15.95" customHeight="1" thickBot="1"/>
    <row r="7" spans="1:24" ht="24.95" customHeight="1" thickBot="1">
      <c r="A7" s="11" t="s">
        <v>10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3"/>
      <c r="N7" s="13"/>
      <c r="O7" s="13"/>
      <c r="P7" s="14"/>
      <c r="Q7" s="3"/>
      <c r="R7" s="3"/>
      <c r="S7" s="3"/>
      <c r="T7" s="3"/>
    </row>
    <row r="8" spans="1:24" s="2" customFormat="1" ht="15.75" thickBot="1">
      <c r="A8" s="15" t="s">
        <v>4</v>
      </c>
      <c r="B8" s="16"/>
      <c r="C8" s="17"/>
      <c r="D8" s="15" t="s">
        <v>5</v>
      </c>
      <c r="E8" s="16"/>
      <c r="F8" s="17"/>
      <c r="G8" s="15" t="s">
        <v>6</v>
      </c>
      <c r="H8" s="17"/>
      <c r="I8" s="15" t="s">
        <v>9</v>
      </c>
      <c r="J8" s="17"/>
      <c r="K8" s="15" t="s">
        <v>7</v>
      </c>
      <c r="L8" s="30"/>
      <c r="M8" s="31" t="s">
        <v>8</v>
      </c>
      <c r="N8" s="31"/>
      <c r="O8" s="31"/>
      <c r="P8" s="32"/>
      <c r="Q8" s="4" t="s">
        <v>11</v>
      </c>
      <c r="R8" s="5"/>
      <c r="S8" s="5"/>
      <c r="T8" s="6"/>
      <c r="U8" s="4" t="s">
        <v>12</v>
      </c>
      <c r="V8" s="5"/>
      <c r="W8" s="5"/>
      <c r="X8" s="6"/>
    </row>
    <row r="9" spans="1:24" ht="16.5" thickBot="1">
      <c r="A9" s="24" t="s">
        <v>17</v>
      </c>
      <c r="B9" s="24"/>
      <c r="C9" s="24"/>
      <c r="D9" s="24" t="s">
        <v>21</v>
      </c>
      <c r="E9" s="24"/>
      <c r="F9" s="24"/>
      <c r="G9" s="33">
        <v>10500</v>
      </c>
      <c r="H9" s="33"/>
      <c r="I9" s="33">
        <f t="shared" ref="I9" si="0">G9*0.16</f>
        <v>1680</v>
      </c>
      <c r="J9" s="33"/>
      <c r="K9" s="33">
        <f t="shared" ref="K9" si="1">G9+I9</f>
        <v>12180</v>
      </c>
      <c r="L9" s="33"/>
      <c r="M9" s="7" t="s">
        <v>18</v>
      </c>
      <c r="N9" s="7"/>
      <c r="O9" s="7"/>
      <c r="P9" s="7"/>
      <c r="Q9" s="10" t="s">
        <v>19</v>
      </c>
      <c r="R9" s="10"/>
      <c r="S9" s="10"/>
      <c r="T9" s="10"/>
      <c r="U9" s="8" t="s">
        <v>20</v>
      </c>
      <c r="V9" s="9"/>
      <c r="W9" s="9"/>
      <c r="X9" s="9"/>
    </row>
    <row r="10" spans="1:24" s="2" customFormat="1" ht="15.75" thickBot="1">
      <c r="A10" s="35" t="s">
        <v>7</v>
      </c>
      <c r="B10" s="36"/>
      <c r="C10" s="36"/>
      <c r="D10" s="36"/>
      <c r="E10" s="36"/>
      <c r="F10" s="37"/>
      <c r="G10" s="34">
        <f>SUM(G9:H9)</f>
        <v>10500</v>
      </c>
      <c r="H10" s="34"/>
      <c r="I10" s="34">
        <f>SUM(I9:J9)</f>
        <v>1680</v>
      </c>
      <c r="J10" s="34"/>
      <c r="K10" s="34">
        <f>SUM(K9:L9)</f>
        <v>12180</v>
      </c>
      <c r="L10" s="34"/>
      <c r="M10" s="16"/>
      <c r="N10" s="16"/>
      <c r="O10" s="16"/>
      <c r="P10" s="17"/>
      <c r="Q10" s="16"/>
      <c r="R10" s="16"/>
      <c r="S10" s="16"/>
      <c r="T10" s="17"/>
      <c r="U10" s="16"/>
      <c r="V10" s="16"/>
      <c r="W10" s="16"/>
      <c r="X10" s="17"/>
    </row>
  </sheetData>
  <mergeCells count="32">
    <mergeCell ref="K10:L10"/>
    <mergeCell ref="A10:F10"/>
    <mergeCell ref="G10:H10"/>
    <mergeCell ref="Q10:T10"/>
    <mergeCell ref="U10:X10"/>
    <mergeCell ref="M10:P10"/>
    <mergeCell ref="I10:J10"/>
    <mergeCell ref="I9:J9"/>
    <mergeCell ref="K9:L9"/>
    <mergeCell ref="A9:C9"/>
    <mergeCell ref="D9:F9"/>
    <mergeCell ref="G9:H9"/>
    <mergeCell ref="A7:P7"/>
    <mergeCell ref="A8:C8"/>
    <mergeCell ref="D8:F8"/>
    <mergeCell ref="G8:H8"/>
    <mergeCell ref="A1:B1"/>
    <mergeCell ref="C1:E1"/>
    <mergeCell ref="A2:B2"/>
    <mergeCell ref="C2:E2"/>
    <mergeCell ref="A3:B3"/>
    <mergeCell ref="C3:E3"/>
    <mergeCell ref="A4:B4"/>
    <mergeCell ref="C4:E4"/>
    <mergeCell ref="I8:J8"/>
    <mergeCell ref="K8:L8"/>
    <mergeCell ref="M8:P8"/>
    <mergeCell ref="Q8:T8"/>
    <mergeCell ref="U8:X8"/>
    <mergeCell ref="M9:P9"/>
    <mergeCell ref="U9:X9"/>
    <mergeCell ref="Q9:T9"/>
  </mergeCells>
  <phoneticPr fontId="3" type="noConversion"/>
  <hyperlinks>
    <hyperlink ref="U9" r:id="rId1" xr:uid="{26C547E7-C721-40C8-BC7E-CDFE8E4B8866}"/>
  </hyperlinks>
  <pageMargins left="0.7" right="0.7" top="0.75" bottom="0.75" header="0.3" footer="0.3"/>
  <pageSetup scale="42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Nomina</vt:lpstr>
      <vt:lpstr>Nomina!Print_Area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Uscanga Castillo</dc:creator>
  <cp:lastModifiedBy>Ramiro Zendejas</cp:lastModifiedBy>
  <cp:lastPrinted>2021-04-30T16:18:01Z</cp:lastPrinted>
  <dcterms:created xsi:type="dcterms:W3CDTF">2020-07-02T00:12:23Z</dcterms:created>
  <dcterms:modified xsi:type="dcterms:W3CDTF">2025-01-14T07:05:22Z</dcterms:modified>
</cp:coreProperties>
</file>